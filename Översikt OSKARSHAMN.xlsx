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46268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46268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46268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46268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46268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46268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10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11</v>
      </c>
      <c r="T11" t="n">
        <v>18</v>
      </c>
      <c r="U11" t="n">
        <v>18</v>
      </c>
      <c r="V11" s="2" t="inlineStr">
        <is>
          <t>Kritsuga
Grönfink
Mindre hackspett
Sårläka
Blåsippa
Nattskärra
Spillkråka
Hasselmus
Ärtsångare
Vanlig padda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46268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46268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46268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46268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46268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46268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46268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46268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46268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46268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46268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46268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46268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46268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46268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46268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46268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46268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46268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46268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46268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46268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46268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46268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46268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46268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46268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46268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46268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46268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46268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46268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46268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46268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46268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46268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46268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46268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46268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27854-2023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45098</v>
      </c>
      <c r="E53" s="1" t="n">
        <v>46268</v>
      </c>
      <c r="F53" t="inlineStr">
        <is>
          <t>KALMAR LÄN</t>
        </is>
      </c>
      <c r="G53" t="inlineStr">
        <is>
          <t>OSKARSHAMN</t>
        </is>
      </c>
      <c r="I53" t="n">
        <v>3.3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Åkerkål</t>
        </is>
      </c>
      <c r="W53">
        <f>HYPERLINK("https://klasma.github.io/Logging_0882/artfynd/A 27854-2023 artfynd.xlsx", "A 27854-2023")</f>
        <v/>
      </c>
      <c r="X53">
        <f>HYPERLINK("https://klasma.github.io/Logging_0882/kartor/A 27854-2023 karta.png", "A 27854-2023")</f>
        <v/>
      </c>
      <c r="Y53">
        <f>HYPERLINK("https://klasma.github.io/Logging_0882/kartor_geotiff/A 27854-2023 georefererad karta.tif", "A 27854-2023")</f>
        <v/>
      </c>
      <c r="AA53">
        <f>HYPERLINK("https://klasma.github.io/Logging_0882/klagomål/A 27854-2023 FSC-klagomål.docx", "A 27854-2023")</f>
        <v/>
      </c>
      <c r="AB53">
        <f>HYPERLINK("https://klasma.github.io/Logging_0882/klagomålsmail/A 27854-2023 FSC-klagomål mail.docx", "A 27854-2023")</f>
        <v/>
      </c>
      <c r="AC53">
        <f>HYPERLINK("https://klasma.github.io/Logging_0882/tillsyn/A 27854-2023 tillsynsbegäran.docx", "A 27854-2023")</f>
        <v/>
      </c>
      <c r="AD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46268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5111-2024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46268</v>
      </c>
      <c r="F55" t="inlineStr">
        <is>
          <t>KALMAR LÄN</t>
        </is>
      </c>
      <c r="G55" t="inlineStr">
        <is>
          <t>OSKARSHAMN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HYPERLINK("https://klasma.github.io/Logging_0882/artfynd/A 5111-2024 artfynd.xlsx", "A 5111-2024")</f>
        <v/>
      </c>
      <c r="X55">
        <f>HYPERLINK("https://klasma.github.io/Logging_0882/kartor/A 5111-2024 karta.png", "A 5111-2024")</f>
        <v/>
      </c>
      <c r="Y55">
        <f>HYPERLINK("https://klasma.github.io/Logging_0882/kartor_geotiff/A 5111-2024 georefererad karta.tif", "A 5111-2024")</f>
        <v/>
      </c>
      <c r="Z55">
        <f>HYPERLINK("https://klasma.github.io/Logging_0882/knärot/A 5111-2024 karta knärot.png", "A 5111-2024")</f>
        <v/>
      </c>
      <c r="AA55">
        <f>HYPERLINK("https://klasma.github.io/Logging_0882/klagomål/A 5111-2024 FSC-klagomål.docx", "A 5111-2024")</f>
        <v/>
      </c>
      <c r="AB55">
        <f>HYPERLINK("https://klasma.github.io/Logging_0882/klagomålsmail/A 5111-2024 FSC-klagomål mail.docx", "A 5111-2024")</f>
        <v/>
      </c>
      <c r="AC55">
        <f>HYPERLINK("https://klasma.github.io/Logging_0882/tillsyn/A 5111-2024 tillsynsbegäran.docx", "A 5111-2024")</f>
        <v/>
      </c>
      <c r="AD55">
        <f>HYPERLINK("https://klasma.github.io/Logging_0882/tillsynsmail/A 5111-2024 tillsynsbegäran mail.docx", "A 5111-2024")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46268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20166-2026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46268</v>
      </c>
      <c r="F57" t="inlineStr">
        <is>
          <t>KALMAR LÄN</t>
        </is>
      </c>
      <c r="G57" t="inlineStr">
        <is>
          <t>OSKARSHAMN</t>
        </is>
      </c>
      <c r="I57" t="n">
        <v>2.1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Murgröna</t>
        </is>
      </c>
      <c r="W57">
        <f>HYPERLINK("https://klasma.github.io/Logging_0882/artfynd/A 20166-2026 artfynd.xlsx", "A 20166-2026")</f>
        <v/>
      </c>
      <c r="X57">
        <f>HYPERLINK("https://klasma.github.io/Logging_0882/kartor/A 20166-2026 karta.png", "A 20166-2026")</f>
        <v/>
      </c>
      <c r="Y57">
        <f>HYPERLINK("https://klasma.github.io/Logging_0882/kartor_geotiff/A 20166-2026 georefererad karta.tif", "A 20166-2026")</f>
        <v/>
      </c>
      <c r="AA57">
        <f>HYPERLINK("https://klasma.github.io/Logging_0882/klagomål/A 20166-2026 FSC-klagomål.docx", "A 20166-2026")</f>
        <v/>
      </c>
      <c r="AB57">
        <f>HYPERLINK("https://klasma.github.io/Logging_0882/klagomålsmail/A 20166-2026 FSC-klagomål mail.docx", "A 20166-2026")</f>
        <v/>
      </c>
      <c r="AC57">
        <f>HYPERLINK("https://klasma.github.io/Logging_0882/tillsyn/A 20166-2026 tillsynsbegäran.docx", "A 20166-2026")</f>
        <v/>
      </c>
      <c r="AD57">
        <f>HYPERLINK("https://klasma.github.io/Logging_0882/tillsynsmail/A 20166-2026 tillsynsbegäran mail.docx", "A 20166-2026")</f>
        <v/>
      </c>
    </row>
    <row r="58" ht="15" customHeight="1">
      <c r="A58" t="inlineStr">
        <is>
          <t>A 26730-2026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46268</v>
      </c>
      <c r="F58" t="inlineStr">
        <is>
          <t>KALMAR LÄN</t>
        </is>
      </c>
      <c r="G58" t="inlineStr">
        <is>
          <t>OSKARSHAMN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Mosippa</t>
        </is>
      </c>
      <c r="W58">
        <f>HYPERLINK("https://klasma.github.io/Logging_0882/artfynd/A 26730-2026 artfynd.xlsx", "A 26730-2026")</f>
        <v/>
      </c>
      <c r="X58">
        <f>HYPERLINK("https://klasma.github.io/Logging_0882/kartor/A 26730-2026 karta.png", "A 26730-2026")</f>
        <v/>
      </c>
      <c r="Y58">
        <f>HYPERLINK("https://klasma.github.io/Logging_0882/kartor_geotiff/A 26730-2026 georefererad karta.tif", "A 26730-2026")</f>
        <v/>
      </c>
      <c r="AA58">
        <f>HYPERLINK("https://klasma.github.io/Logging_0882/klagomål/A 26730-2026 FSC-klagomål.docx", "A 26730-2026")</f>
        <v/>
      </c>
      <c r="AB58">
        <f>HYPERLINK("https://klasma.github.io/Logging_0882/klagomålsmail/A 26730-2026 FSC-klagomål mail.docx", "A 26730-2026")</f>
        <v/>
      </c>
      <c r="AC58">
        <f>HYPERLINK("https://klasma.github.io/Logging_0882/tillsyn/A 26730-2026 tillsynsbegäran.docx", "A 26730-2026")</f>
        <v/>
      </c>
      <c r="AD58">
        <f>HYPERLINK("https://klasma.github.io/Logging_0882/tillsynsmail/A 26730-2026 tillsynsbegäran mail.docx", "A 26730-2026")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46268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46268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46268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46268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46268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46268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46268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46268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46268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46268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46268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46268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46268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46268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46268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46268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46268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46268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46268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46268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46268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46268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46268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46268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46268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46268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46268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46268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46268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46268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46268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46268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46268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46268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46268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46268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46268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46268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46268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46268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46268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46268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46268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46268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46268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46268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46268</v>
      </c>
      <c r="F105" t="inlineStr">
        <is>
          <t>KALMAR LÄN</t>
        </is>
      </c>
      <c r="G105" t="inlineStr">
        <is>
          <t>OSKARSHAMN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46268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46268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46268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46268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46268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46268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46268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44789</v>
      </c>
      <c r="E113" s="1" t="n">
        <v>46268</v>
      </c>
      <c r="F113" t="inlineStr">
        <is>
          <t>KALMAR LÄN</t>
        </is>
      </c>
      <c r="G113" t="inlineStr">
        <is>
          <t>OSKARSHAMN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46268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46268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46268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46268</v>
      </c>
      <c r="F117" t="inlineStr">
        <is>
          <t>KALMAR LÄN</t>
        </is>
      </c>
      <c r="G117" t="inlineStr">
        <is>
          <t>OSKARSHAMN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44965</v>
      </c>
      <c r="E118" s="1" t="n">
        <v>46268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46268</v>
      </c>
      <c r="F119" t="inlineStr">
        <is>
          <t>KALMAR LÄN</t>
        </is>
      </c>
      <c r="G119" t="inlineStr">
        <is>
          <t>OSKARSHAMN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46268</v>
      </c>
      <c r="F120" t="inlineStr">
        <is>
          <t>KALMAR LÄN</t>
        </is>
      </c>
      <c r="G120" t="inlineStr">
        <is>
          <t>OSKARSHAMN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45580</v>
      </c>
      <c r="E121" s="1" t="n">
        <v>46268</v>
      </c>
      <c r="F121" t="inlineStr">
        <is>
          <t>KALMAR LÄN</t>
        </is>
      </c>
      <c r="G121" t="inlineStr">
        <is>
          <t>OSKARSHAMN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45900-2024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46268</v>
      </c>
      <c r="F122" t="inlineStr">
        <is>
          <t>KALMAR LÄN</t>
        </is>
      </c>
      <c r="G122" t="inlineStr">
        <is>
          <t>OSKARSHAMN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35531-2024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46268</v>
      </c>
      <c r="F123" t="inlineStr">
        <is>
          <t>KALMAR LÄN</t>
        </is>
      </c>
      <c r="G123" t="inlineStr">
        <is>
          <t>OSKARSHAMN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46268</v>
      </c>
      <c r="F124" t="inlineStr">
        <is>
          <t>KALMAR LÄN</t>
        </is>
      </c>
      <c r="G124" t="inlineStr">
        <is>
          <t>OSKARSHAMN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46268</v>
      </c>
      <c r="F125" t="inlineStr">
        <is>
          <t>KALMAR LÄN</t>
        </is>
      </c>
      <c r="G125" t="inlineStr">
        <is>
          <t>OSKARSHAMN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46268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46268</v>
      </c>
      <c r="F127" t="inlineStr">
        <is>
          <t>KALMAR LÄN</t>
        </is>
      </c>
      <c r="G127" t="inlineStr">
        <is>
          <t>OSKARSHAMN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27684-2022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44743</v>
      </c>
      <c r="E128" s="1" t="n">
        <v>46268</v>
      </c>
      <c r="F128" t="inlineStr">
        <is>
          <t>KALMAR LÄN</t>
        </is>
      </c>
      <c r="G128" t="inlineStr">
        <is>
          <t>OSKARSHAMN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46268</v>
      </c>
      <c r="F129" t="inlineStr">
        <is>
          <t>KALMAR LÄN</t>
        </is>
      </c>
      <c r="G129" t="inlineStr">
        <is>
          <t>OSKARSHAMN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45364</v>
      </c>
      <c r="E130" s="1" t="n">
        <v>46268</v>
      </c>
      <c r="F130" t="inlineStr">
        <is>
          <t>KALMAR LÄN</t>
        </is>
      </c>
      <c r="G130" t="inlineStr">
        <is>
          <t>OSKARSHAMN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46268</v>
      </c>
      <c r="F131" t="inlineStr">
        <is>
          <t>KALMAR LÄN</t>
        </is>
      </c>
      <c r="G131" t="inlineStr">
        <is>
          <t>OSKARSHAMN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46268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46268</v>
      </c>
      <c r="F133" t="inlineStr">
        <is>
          <t>KALMAR LÄN</t>
        </is>
      </c>
      <c r="G133" t="inlineStr">
        <is>
          <t>OSKARSHAMN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46268</v>
      </c>
      <c r="F134" t="inlineStr">
        <is>
          <t>KALMAR LÄN</t>
        </is>
      </c>
      <c r="G134" t="inlineStr">
        <is>
          <t>OSKARSHAMN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46268</v>
      </c>
      <c r="F135" t="inlineStr">
        <is>
          <t>KALMAR LÄN</t>
        </is>
      </c>
      <c r="G135" t="inlineStr">
        <is>
          <t>OSKARSHAMN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46268</v>
      </c>
      <c r="F136" t="inlineStr">
        <is>
          <t>KALMAR LÄN</t>
        </is>
      </c>
      <c r="G136" t="inlineStr">
        <is>
          <t>OSKARSHAMN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57359-2024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46268</v>
      </c>
      <c r="F137" t="inlineStr">
        <is>
          <t>KALMAR LÄN</t>
        </is>
      </c>
      <c r="G137" t="inlineStr">
        <is>
          <t>OSKARSHAMN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46268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46268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46268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46268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46268</v>
      </c>
      <c r="F142" t="inlineStr">
        <is>
          <t>KALMAR LÄN</t>
        </is>
      </c>
      <c r="G142" t="inlineStr">
        <is>
          <t>OSKARSHAMN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46268</v>
      </c>
      <c r="F143" t="inlineStr">
        <is>
          <t>KALMAR LÄN</t>
        </is>
      </c>
      <c r="G143" t="inlineStr">
        <is>
          <t>OSKARSHAMN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46268</v>
      </c>
      <c r="F144" t="inlineStr">
        <is>
          <t>KALMAR LÄN</t>
        </is>
      </c>
      <c r="G144" t="inlineStr">
        <is>
          <t>OSKARSHAMN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44818</v>
      </c>
      <c r="E145" s="1" t="n">
        <v>46268</v>
      </c>
      <c r="F145" t="inlineStr">
        <is>
          <t>KALMAR LÄN</t>
        </is>
      </c>
      <c r="G145" t="inlineStr">
        <is>
          <t>OSKARSHAMN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45253</v>
      </c>
      <c r="E146" s="1" t="n">
        <v>46268</v>
      </c>
      <c r="F146" t="inlineStr">
        <is>
          <t>KALMAR LÄN</t>
        </is>
      </c>
      <c r="G146" t="inlineStr">
        <is>
          <t>OSKARSHAMN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46268</v>
      </c>
      <c r="F147" t="inlineStr">
        <is>
          <t>KALMAR LÄN</t>
        </is>
      </c>
      <c r="G147" t="inlineStr">
        <is>
          <t>OSKARSHAMN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46268</v>
      </c>
      <c r="F148" t="inlineStr">
        <is>
          <t>KALMAR LÄN</t>
        </is>
      </c>
      <c r="G148" t="inlineStr">
        <is>
          <t>OSKARSHAMN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46268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46268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46268</v>
      </c>
      <c r="F151" t="inlineStr">
        <is>
          <t>KALMAR LÄN</t>
        </is>
      </c>
      <c r="G151" t="inlineStr">
        <is>
          <t>OSKARSHAMN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45482</v>
      </c>
      <c r="E152" s="1" t="n">
        <v>46268</v>
      </c>
      <c r="F152" t="inlineStr">
        <is>
          <t>KALMAR LÄN</t>
        </is>
      </c>
      <c r="G152" t="inlineStr">
        <is>
          <t>OSKARSHAMN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46268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45294</v>
      </c>
      <c r="E154" s="1" t="n">
        <v>46268</v>
      </c>
      <c r="F154" t="inlineStr">
        <is>
          <t>KALMAR LÄN</t>
        </is>
      </c>
      <c r="G154" t="inlineStr">
        <is>
          <t>OSKARSHAMN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46268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46268</v>
      </c>
      <c r="F156" t="inlineStr">
        <is>
          <t>KALMAR LÄN</t>
        </is>
      </c>
      <c r="G156" t="inlineStr">
        <is>
          <t>OSKARSHAMN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46268</v>
      </c>
      <c r="F157" t="inlineStr">
        <is>
          <t>KALMAR LÄN</t>
        </is>
      </c>
      <c r="G157" t="inlineStr">
        <is>
          <t>OSKARSHAMN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46268</v>
      </c>
      <c r="F158" t="inlineStr">
        <is>
          <t>KALMAR LÄN</t>
        </is>
      </c>
      <c r="G158" t="inlineStr">
        <is>
          <t>OSKARSHAMN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26127-2025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45805</v>
      </c>
      <c r="E159" s="1" t="n">
        <v>46268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46268</v>
      </c>
      <c r="F160" t="inlineStr">
        <is>
          <t>KALMAR LÄN</t>
        </is>
      </c>
      <c r="G160" t="inlineStr">
        <is>
          <t>OSKARSHAMN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46268</v>
      </c>
      <c r="F161" t="inlineStr">
        <is>
          <t>KALMAR LÄN</t>
        </is>
      </c>
      <c r="G161" t="inlineStr">
        <is>
          <t>OSKARSHAMN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46268</v>
      </c>
      <c r="F162" t="inlineStr">
        <is>
          <t>KALMAR LÄN</t>
        </is>
      </c>
      <c r="G162" t="inlineStr">
        <is>
          <t>OSKARSHAMN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45207</v>
      </c>
      <c r="E163" s="1" t="n">
        <v>46268</v>
      </c>
      <c r="F163" t="inlineStr">
        <is>
          <t>KALMAR LÄN</t>
        </is>
      </c>
      <c r="G163" t="inlineStr">
        <is>
          <t>OSKARSHAMN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46268</v>
      </c>
      <c r="F164" t="inlineStr">
        <is>
          <t>KALMAR LÄN</t>
        </is>
      </c>
      <c r="G164" t="inlineStr">
        <is>
          <t>OSKARSHAMN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46268</v>
      </c>
      <c r="F165" t="inlineStr">
        <is>
          <t>KALMAR LÄN</t>
        </is>
      </c>
      <c r="G165" t="inlineStr">
        <is>
          <t>OSKARSHAMN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46268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46268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28254-2025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46268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46268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46268</v>
      </c>
      <c r="F170" t="inlineStr">
        <is>
          <t>KALMAR LÄN</t>
        </is>
      </c>
      <c r="G170" t="inlineStr">
        <is>
          <t>OSKARSHAMN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46268</v>
      </c>
      <c r="F171" t="inlineStr">
        <is>
          <t>KALMAR LÄN</t>
        </is>
      </c>
      <c r="G171" t="inlineStr">
        <is>
          <t>OSKARSHAMN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44664</v>
      </c>
      <c r="E172" s="1" t="n">
        <v>46268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15754-2022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44663</v>
      </c>
      <c r="E173" s="1" t="n">
        <v>46268</v>
      </c>
      <c r="F173" t="inlineStr">
        <is>
          <t>KALMAR LÄN</t>
        </is>
      </c>
      <c r="G173" t="inlineStr">
        <is>
          <t>OSKARSHAMN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46268</v>
      </c>
      <c r="F174" t="inlineStr">
        <is>
          <t>KALMAR LÄN</t>
        </is>
      </c>
      <c r="G174" t="inlineStr">
        <is>
          <t>OSKARSHAMN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45223</v>
      </c>
      <c r="E175" s="1" t="n">
        <v>46268</v>
      </c>
      <c r="F175" t="inlineStr">
        <is>
          <t>KALMAR LÄN</t>
        </is>
      </c>
      <c r="G175" t="inlineStr">
        <is>
          <t>OSKARSHAMN</t>
        </is>
      </c>
      <c r="I175" t="n">
        <v>15.3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46268</v>
      </c>
      <c r="F176" t="inlineStr">
        <is>
          <t>KALMAR LÄN</t>
        </is>
      </c>
      <c r="G176" t="inlineStr">
        <is>
          <t>OSKARSHAMN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46268</v>
      </c>
      <c r="F177" t="inlineStr">
        <is>
          <t>KALMAR LÄN</t>
        </is>
      </c>
      <c r="G177" t="inlineStr">
        <is>
          <t>OSKARSHAMN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46268</v>
      </c>
      <c r="F178" t="inlineStr">
        <is>
          <t>KALMAR LÄN</t>
        </is>
      </c>
      <c r="G178" t="inlineStr">
        <is>
          <t>OSKARSHAMN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46268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46268</v>
      </c>
      <c r="F180" t="inlineStr">
        <is>
          <t>KALMAR LÄN</t>
        </is>
      </c>
      <c r="G180" t="inlineStr">
        <is>
          <t>OSKARSHAMN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4074-2024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45323</v>
      </c>
      <c r="E181" s="1" t="n">
        <v>46268</v>
      </c>
      <c r="F181" t="inlineStr">
        <is>
          <t>KALMAR LÄN</t>
        </is>
      </c>
      <c r="G181" t="inlineStr">
        <is>
          <t>OSKARSHAMN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45805</v>
      </c>
      <c r="E182" s="1" t="n">
        <v>46268</v>
      </c>
      <c r="F182" t="inlineStr">
        <is>
          <t>KALMAR LÄN</t>
        </is>
      </c>
      <c r="G182" t="inlineStr">
        <is>
          <t>OSKARSHAMN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46268</v>
      </c>
      <c r="F183" t="inlineStr">
        <is>
          <t>KALMAR LÄN</t>
        </is>
      </c>
      <c r="G183" t="inlineStr">
        <is>
          <t>OSKARSHAMN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45043</v>
      </c>
      <c r="E184" s="1" t="n">
        <v>46268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46268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46268</v>
      </c>
      <c r="F186" t="inlineStr">
        <is>
          <t>KALMAR LÄN</t>
        </is>
      </c>
      <c r="G186" t="inlineStr">
        <is>
          <t>OSKARSHAMN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46268</v>
      </c>
      <c r="F187" t="inlineStr">
        <is>
          <t>KALMAR LÄN</t>
        </is>
      </c>
      <c r="G187" t="inlineStr">
        <is>
          <t>OSKARSHAMN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46268</v>
      </c>
      <c r="F188" t="inlineStr">
        <is>
          <t>KALMAR LÄN</t>
        </is>
      </c>
      <c r="G188" t="inlineStr">
        <is>
          <t>OSKARSHAMN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46268</v>
      </c>
      <c r="F189" t="inlineStr">
        <is>
          <t>KALMAR LÄN</t>
        </is>
      </c>
      <c r="G189" t="inlineStr">
        <is>
          <t>OSKARSHAMN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34066-2024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45523</v>
      </c>
      <c r="E190" s="1" t="n">
        <v>46268</v>
      </c>
      <c r="F190" t="inlineStr">
        <is>
          <t>KALMAR LÄN</t>
        </is>
      </c>
      <c r="G190" t="inlineStr">
        <is>
          <t>OSKARSHAMN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46268</v>
      </c>
      <c r="F191" t="inlineStr">
        <is>
          <t>KALMAR LÄN</t>
        </is>
      </c>
      <c r="G191" t="inlineStr">
        <is>
          <t>OSKARSHAMN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45110</v>
      </c>
      <c r="E192" s="1" t="n">
        <v>46268</v>
      </c>
      <c r="F192" t="inlineStr">
        <is>
          <t>KALMAR LÄN</t>
        </is>
      </c>
      <c r="G192" t="inlineStr">
        <is>
          <t>OSKARSHAMN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9385-2024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46268</v>
      </c>
      <c r="F193" t="inlineStr">
        <is>
          <t>KALMAR LÄN</t>
        </is>
      </c>
      <c r="G193" t="inlineStr">
        <is>
          <t>OSKARSHAMN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46268</v>
      </c>
      <c r="F194" t="inlineStr">
        <is>
          <t>KALMAR LÄN</t>
        </is>
      </c>
      <c r="G194" t="inlineStr">
        <is>
          <t>OSKARSHAMN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59474-2023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46268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42693-2025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45908</v>
      </c>
      <c r="E196" s="1" t="n">
        <v>46268</v>
      </c>
      <c r="F196" t="inlineStr">
        <is>
          <t>KALMAR LÄN</t>
        </is>
      </c>
      <c r="G196" t="inlineStr">
        <is>
          <t>OSKARSHAMN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46268</v>
      </c>
      <c r="F197" t="inlineStr">
        <is>
          <t>KALMAR LÄN</t>
        </is>
      </c>
      <c r="G197" t="inlineStr">
        <is>
          <t>OSKARSHAMN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45908</v>
      </c>
      <c r="E198" s="1" t="n">
        <v>46268</v>
      </c>
      <c r="F198" t="inlineStr">
        <is>
          <t>KALMAR LÄN</t>
        </is>
      </c>
      <c r="G198" t="inlineStr">
        <is>
          <t>OSKARSHAMN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42751-2025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45908</v>
      </c>
      <c r="E199" s="1" t="n">
        <v>46268</v>
      </c>
      <c r="F199" t="inlineStr">
        <is>
          <t>KALMAR LÄN</t>
        </is>
      </c>
      <c r="G199" t="inlineStr">
        <is>
          <t>OSKARSHAMN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46268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46268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46268</v>
      </c>
      <c r="F202" t="inlineStr">
        <is>
          <t>KALMAR LÄN</t>
        </is>
      </c>
      <c r="G202" t="inlineStr">
        <is>
          <t>OSKARSHAMN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45204</v>
      </c>
      <c r="E203" s="1" t="n">
        <v>46268</v>
      </c>
      <c r="F203" t="inlineStr">
        <is>
          <t>KALMAR LÄN</t>
        </is>
      </c>
      <c r="G203" t="inlineStr">
        <is>
          <t>OSKARSHAMN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46268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45369</v>
      </c>
      <c r="E205" s="1" t="n">
        <v>46268</v>
      </c>
      <c r="F205" t="inlineStr">
        <is>
          <t>KALMAR LÄN</t>
        </is>
      </c>
      <c r="G205" t="inlineStr">
        <is>
          <t>OSKARSHAMN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15782-2023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45021</v>
      </c>
      <c r="E206" s="1" t="n">
        <v>46268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46268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45212</v>
      </c>
      <c r="E208" s="1" t="n">
        <v>46268</v>
      </c>
      <c r="F208" t="inlineStr">
        <is>
          <t>KALMAR LÄN</t>
        </is>
      </c>
      <c r="G208" t="inlineStr">
        <is>
          <t>OSKARSHAMN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44711</v>
      </c>
      <c r="E209" s="1" t="n">
        <v>46268</v>
      </c>
      <c r="F209" t="inlineStr">
        <is>
          <t>KALMAR LÄN</t>
        </is>
      </c>
      <c r="G209" t="inlineStr">
        <is>
          <t>OSKARSHAMN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46268</v>
      </c>
      <c r="F210" t="inlineStr">
        <is>
          <t>KALMAR LÄN</t>
        </is>
      </c>
      <c r="G210" t="inlineStr">
        <is>
          <t>OSKARSHAMN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46268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46268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46268</v>
      </c>
      <c r="F213" t="inlineStr">
        <is>
          <t>KALMAR LÄN</t>
        </is>
      </c>
      <c r="G213" t="inlineStr">
        <is>
          <t>OSKARSHAMN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46268</v>
      </c>
      <c r="F214" t="inlineStr">
        <is>
          <t>KALMAR LÄN</t>
        </is>
      </c>
      <c r="G214" t="inlineStr">
        <is>
          <t>OSKARSHAMN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46268</v>
      </c>
      <c r="F215" t="inlineStr">
        <is>
          <t>KALMAR LÄN</t>
        </is>
      </c>
      <c r="G215" t="inlineStr">
        <is>
          <t>OSKARSHAMN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47104-2025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46268</v>
      </c>
      <c r="F216" t="inlineStr">
        <is>
          <t>KALMAR LÄN</t>
        </is>
      </c>
      <c r="G216" t="inlineStr">
        <is>
          <t>OSKARSHAMN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46268</v>
      </c>
      <c r="F217" t="inlineStr">
        <is>
          <t>KALMAR LÄN</t>
        </is>
      </c>
      <c r="G217" t="inlineStr">
        <is>
          <t>OSKARSHAMN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46268</v>
      </c>
      <c r="F218" t="inlineStr">
        <is>
          <t>KALMAR LÄN</t>
        </is>
      </c>
      <c r="G218" t="inlineStr">
        <is>
          <t>OSKARSHAMN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46268</v>
      </c>
      <c r="F219" t="inlineStr">
        <is>
          <t>KALMAR LÄN</t>
        </is>
      </c>
      <c r="G219" t="inlineStr">
        <is>
          <t>OSKARSHAMN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46268</v>
      </c>
      <c r="F220" t="inlineStr">
        <is>
          <t>KALMAR LÄN</t>
        </is>
      </c>
      <c r="G220" t="inlineStr">
        <is>
          <t>OSKARSHAMN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46268</v>
      </c>
      <c r="F221" t="inlineStr">
        <is>
          <t>KALMAR LÄN</t>
        </is>
      </c>
      <c r="G221" t="inlineStr">
        <is>
          <t>OSKARSHAMN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46268</v>
      </c>
      <c r="F222" t="inlineStr">
        <is>
          <t>KALMAR LÄN</t>
        </is>
      </c>
      <c r="G222" t="inlineStr">
        <is>
          <t>OSKARSHAMN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46268</v>
      </c>
      <c r="F223" t="inlineStr">
        <is>
          <t>KALMAR LÄN</t>
        </is>
      </c>
      <c r="G223" t="inlineStr">
        <is>
          <t>OSKARSHAMN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46268</v>
      </c>
      <c r="F224" t="inlineStr">
        <is>
          <t>KALMAR LÄN</t>
        </is>
      </c>
      <c r="G224" t="inlineStr">
        <is>
          <t>OSKARSHAMN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46268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46268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46268</v>
      </c>
      <c r="F227" t="inlineStr">
        <is>
          <t>KALMAR LÄN</t>
        </is>
      </c>
      <c r="G227" t="inlineStr">
        <is>
          <t>OSKARSHAMN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46268</v>
      </c>
      <c r="F228" t="inlineStr">
        <is>
          <t>KALMAR LÄN</t>
        </is>
      </c>
      <c r="G228" t="inlineStr">
        <is>
          <t>OSKARSHAMN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46268</v>
      </c>
      <c r="F229" t="inlineStr">
        <is>
          <t>KALMAR LÄN</t>
        </is>
      </c>
      <c r="G229" t="inlineStr">
        <is>
          <t>OSKARSHAMN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46268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46268</v>
      </c>
      <c r="F231" t="inlineStr">
        <is>
          <t>KALMAR LÄN</t>
        </is>
      </c>
      <c r="G231" t="inlineStr">
        <is>
          <t>OSKARSHAMN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46268</v>
      </c>
      <c r="F232" t="inlineStr">
        <is>
          <t>KALMAR LÄN</t>
        </is>
      </c>
      <c r="G232" t="inlineStr">
        <is>
          <t>OSKARSHAMN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46268</v>
      </c>
      <c r="F233" t="inlineStr">
        <is>
          <t>KALMAR LÄN</t>
        </is>
      </c>
      <c r="G233" t="inlineStr">
        <is>
          <t>OSKARSHAMN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46268</v>
      </c>
      <c r="F234" t="inlineStr">
        <is>
          <t>KALMAR LÄN</t>
        </is>
      </c>
      <c r="G234" t="inlineStr">
        <is>
          <t>OSKARSHAMN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46268</v>
      </c>
      <c r="F235" t="inlineStr">
        <is>
          <t>KALMAR LÄN</t>
        </is>
      </c>
      <c r="G235" t="inlineStr">
        <is>
          <t>OSKARSHAMN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44914</v>
      </c>
      <c r="E236" s="1" t="n">
        <v>46268</v>
      </c>
      <c r="F236" t="inlineStr">
        <is>
          <t>KALMAR LÄN</t>
        </is>
      </c>
      <c r="G236" t="inlineStr">
        <is>
          <t>OSKARSHAMN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46268</v>
      </c>
      <c r="F237" t="inlineStr">
        <is>
          <t>KALMAR LÄN</t>
        </is>
      </c>
      <c r="G237" t="inlineStr">
        <is>
          <t>OSKARSHAMN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46268</v>
      </c>
      <c r="F238" t="inlineStr">
        <is>
          <t>KALMAR LÄN</t>
        </is>
      </c>
      <c r="G238" t="inlineStr">
        <is>
          <t>OSKARSHAMN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31146-2023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46268</v>
      </c>
      <c r="F239" t="inlineStr">
        <is>
          <t>KALMAR LÄN</t>
        </is>
      </c>
      <c r="G239" t="inlineStr">
        <is>
          <t>OSKARSHAMN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46268</v>
      </c>
      <c r="F240" t="inlineStr">
        <is>
          <t>KALMAR LÄN</t>
        </is>
      </c>
      <c r="G240" t="inlineStr">
        <is>
          <t>OSKARSHAMN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48582-2021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44452</v>
      </c>
      <c r="E241" s="1" t="n">
        <v>46268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46268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49660-2025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45939</v>
      </c>
      <c r="E243" s="1" t="n">
        <v>46268</v>
      </c>
      <c r="F243" t="inlineStr">
        <is>
          <t>KALMAR LÄN</t>
        </is>
      </c>
      <c r="G243" t="inlineStr">
        <is>
          <t>OSKARSHAMN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46268</v>
      </c>
      <c r="F244" t="inlineStr">
        <is>
          <t>KALMAR LÄN</t>
        </is>
      </c>
      <c r="G244" t="inlineStr">
        <is>
          <t>OSKARSHAMN</t>
        </is>
      </c>
      <c r="H244" t="inlineStr">
        <is>
          <t>Övriga Aktiebolag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45756</v>
      </c>
      <c r="E245" s="1" t="n">
        <v>46268</v>
      </c>
      <c r="F245" t="inlineStr">
        <is>
          <t>KALMAR LÄN</t>
        </is>
      </c>
      <c r="G245" t="inlineStr">
        <is>
          <t>OSKARSHAMN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44836</v>
      </c>
      <c r="E246" s="1" t="n">
        <v>46268</v>
      </c>
      <c r="F246" t="inlineStr">
        <is>
          <t>KALMAR LÄN</t>
        </is>
      </c>
      <c r="G246" t="inlineStr">
        <is>
          <t>OSKARSHAMN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46268</v>
      </c>
      <c r="F247" t="inlineStr">
        <is>
          <t>KALMAR LÄN</t>
        </is>
      </c>
      <c r="G247" t="inlineStr">
        <is>
          <t>OSKARSHAMN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45254</v>
      </c>
      <c r="E248" s="1" t="n">
        <v>46268</v>
      </c>
      <c r="F248" t="inlineStr">
        <is>
          <t>KALMAR LÄN</t>
        </is>
      </c>
      <c r="G248" t="inlineStr">
        <is>
          <t>OSKARSHAMN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53024-2021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46268</v>
      </c>
      <c r="F249" t="inlineStr">
        <is>
          <t>KALMAR LÄN</t>
        </is>
      </c>
      <c r="G249" t="inlineStr">
        <is>
          <t>OSKARSHAMN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44963</v>
      </c>
      <c r="E250" s="1" t="n">
        <v>46268</v>
      </c>
      <c r="F250" t="inlineStr">
        <is>
          <t>KALMAR LÄN</t>
        </is>
      </c>
      <c r="G250" t="inlineStr">
        <is>
          <t>OSKARSHAMN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46268</v>
      </c>
      <c r="F251" t="inlineStr">
        <is>
          <t>KALMAR LÄN</t>
        </is>
      </c>
      <c r="G251" t="inlineStr">
        <is>
          <t>OSKARSHAMN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46268</v>
      </c>
      <c r="F252" t="inlineStr">
        <is>
          <t>KALMAR LÄN</t>
        </is>
      </c>
      <c r="G252" t="inlineStr">
        <is>
          <t>OSKARSHAMN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46392-2021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44443</v>
      </c>
      <c r="E253" s="1" t="n">
        <v>46268</v>
      </c>
      <c r="F253" t="inlineStr">
        <is>
          <t>KALMAR LÄN</t>
        </is>
      </c>
      <c r="G253" t="inlineStr">
        <is>
          <t>OSKARSHAMN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46268</v>
      </c>
      <c r="F254" t="inlineStr">
        <is>
          <t>KALMAR LÄN</t>
        </is>
      </c>
      <c r="G254" t="inlineStr">
        <is>
          <t>OSKARSHAMN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46268</v>
      </c>
      <c r="F255" t="inlineStr">
        <is>
          <t>KALMAR LÄN</t>
        </is>
      </c>
      <c r="G255" t="inlineStr">
        <is>
          <t>OSKARSHAMN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62995-2025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46009</v>
      </c>
      <c r="E256" s="1" t="n">
        <v>46268</v>
      </c>
      <c r="F256" t="inlineStr">
        <is>
          <t>KALMAR LÄN</t>
        </is>
      </c>
      <c r="G256" t="inlineStr">
        <is>
          <t>OSKARSHAMN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46268</v>
      </c>
      <c r="F257" t="inlineStr">
        <is>
          <t>KALMAR LÄN</t>
        </is>
      </c>
      <c r="G257" t="inlineStr">
        <is>
          <t>OSKARSHAMN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46268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46058</v>
      </c>
      <c r="E259" s="1" t="n">
        <v>46268</v>
      </c>
      <c r="F259" t="inlineStr">
        <is>
          <t>KALMAR LÄN</t>
        </is>
      </c>
      <c r="G259" t="inlineStr">
        <is>
          <t>OSKARSHAMN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7319-2026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46268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44963</v>
      </c>
      <c r="E261" s="1" t="n">
        <v>46268</v>
      </c>
      <c r="F261" t="inlineStr">
        <is>
          <t>KALMAR LÄN</t>
        </is>
      </c>
      <c r="G261" t="inlineStr">
        <is>
          <t>OSKARSHAMN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46268</v>
      </c>
      <c r="F262" t="inlineStr">
        <is>
          <t>KALMAR LÄN</t>
        </is>
      </c>
      <c r="G262" t="inlineStr">
        <is>
          <t>OSKARSHAMN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46059</v>
      </c>
      <c r="E263" s="1" t="n">
        <v>46268</v>
      </c>
      <c r="F263" t="inlineStr">
        <is>
          <t>KALMAR LÄN</t>
        </is>
      </c>
      <c r="G263" t="inlineStr">
        <is>
          <t>OSKARSHAMN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46268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44455</v>
      </c>
      <c r="E265" s="1" t="n">
        <v>46268</v>
      </c>
      <c r="F265" t="inlineStr">
        <is>
          <t>KALMAR LÄN</t>
        </is>
      </c>
      <c r="G265" t="inlineStr">
        <is>
          <t>OSKARSHAMN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45530</v>
      </c>
      <c r="E266" s="1" t="n">
        <v>46268</v>
      </c>
      <c r="F266" t="inlineStr">
        <is>
          <t>KALMAR LÄN</t>
        </is>
      </c>
      <c r="G266" t="inlineStr">
        <is>
          <t>OSKARSHAMN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46268</v>
      </c>
      <c r="F267" t="inlineStr">
        <is>
          <t>KALMAR LÄN</t>
        </is>
      </c>
      <c r="G267" t="inlineStr">
        <is>
          <t>OSKARSHAMN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46268</v>
      </c>
      <c r="F268" t="inlineStr">
        <is>
          <t>KALMAR LÄN</t>
        </is>
      </c>
      <c r="G268" t="inlineStr">
        <is>
          <t>OSKARSHAMN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45252</v>
      </c>
      <c r="E269" s="1" t="n">
        <v>46268</v>
      </c>
      <c r="F269" t="inlineStr">
        <is>
          <t>KALMAR LÄN</t>
        </is>
      </c>
      <c r="G269" t="inlineStr">
        <is>
          <t>OSKARSHAMN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46268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44564</v>
      </c>
      <c r="E271" s="1" t="n">
        <v>46268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48000-2024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46268</v>
      </c>
      <c r="F272" t="inlineStr">
        <is>
          <t>KALMAR LÄN</t>
        </is>
      </c>
      <c r="G272" t="inlineStr">
        <is>
          <t>OSKARSHAMN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46268</v>
      </c>
      <c r="F273" t="inlineStr">
        <is>
          <t>KALMAR LÄN</t>
        </is>
      </c>
      <c r="G273" t="inlineStr">
        <is>
          <t>OSKARSHAMN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46268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64475-2023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46268</v>
      </c>
      <c r="F275" t="inlineStr">
        <is>
          <t>KALMAR LÄN</t>
        </is>
      </c>
      <c r="G275" t="inlineStr">
        <is>
          <t>OSKARSHAMN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58401-2021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46268</v>
      </c>
      <c r="F276" t="inlineStr">
        <is>
          <t>KALMAR LÄN</t>
        </is>
      </c>
      <c r="G276" t="inlineStr">
        <is>
          <t>OSKARSHAMN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46268</v>
      </c>
      <c r="F277" t="inlineStr">
        <is>
          <t>KALMAR LÄN</t>
        </is>
      </c>
      <c r="G277" t="inlineStr">
        <is>
          <t>OSKARSHAMN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45209</v>
      </c>
      <c r="E278" s="1" t="n">
        <v>46268</v>
      </c>
      <c r="F278" t="inlineStr">
        <is>
          <t>KALMAR LÄN</t>
        </is>
      </c>
      <c r="G278" t="inlineStr">
        <is>
          <t>OSKARSHAMN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46268</v>
      </c>
      <c r="F279" t="inlineStr">
        <is>
          <t>KALMAR LÄN</t>
        </is>
      </c>
      <c r="G279" t="inlineStr">
        <is>
          <t>OSKARSHAMN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46268</v>
      </c>
      <c r="F280" t="inlineStr">
        <is>
          <t>KALMAR LÄN</t>
        </is>
      </c>
      <c r="G280" t="inlineStr">
        <is>
          <t>OSKARSHAMN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44980</v>
      </c>
      <c r="E281" s="1" t="n">
        <v>46268</v>
      </c>
      <c r="F281" t="inlineStr">
        <is>
          <t>KALMAR LÄN</t>
        </is>
      </c>
      <c r="G281" t="inlineStr">
        <is>
          <t>OSKARSHAMN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44994</v>
      </c>
      <c r="E282" s="1" t="n">
        <v>46268</v>
      </c>
      <c r="F282" t="inlineStr">
        <is>
          <t>KALMAR LÄN</t>
        </is>
      </c>
      <c r="G282" t="inlineStr">
        <is>
          <t>OSKARSHAMN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45209</v>
      </c>
      <c r="E283" s="1" t="n">
        <v>46268</v>
      </c>
      <c r="F283" t="inlineStr">
        <is>
          <t>KALMAR LÄN</t>
        </is>
      </c>
      <c r="G283" t="inlineStr">
        <is>
          <t>OSKARSHAMN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46268</v>
      </c>
      <c r="F284" t="inlineStr">
        <is>
          <t>KALMAR LÄN</t>
        </is>
      </c>
      <c r="G284" t="inlineStr">
        <is>
          <t>OSKARSHAMN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8499-2023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44977</v>
      </c>
      <c r="E285" s="1" t="n">
        <v>46268</v>
      </c>
      <c r="F285" t="inlineStr">
        <is>
          <t>KALMAR LÄN</t>
        </is>
      </c>
      <c r="G285" t="inlineStr">
        <is>
          <t>OSKARSHAMN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46268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46268</v>
      </c>
      <c r="F287" t="inlineStr">
        <is>
          <t>KALMAR LÄN</t>
        </is>
      </c>
      <c r="G287" t="inlineStr">
        <is>
          <t>OSKARSHAMN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46268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46268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46268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46268</v>
      </c>
      <c r="F291" t="inlineStr">
        <is>
          <t>KALMAR LÄN</t>
        </is>
      </c>
      <c r="G291" t="inlineStr">
        <is>
          <t>OSKARSHAMN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46268</v>
      </c>
      <c r="F292" t="inlineStr">
        <is>
          <t>KALMAR LÄN</t>
        </is>
      </c>
      <c r="G292" t="inlineStr">
        <is>
          <t>OSKARSHAMN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46268</v>
      </c>
      <c r="F293" t="inlineStr">
        <is>
          <t>KALMAR LÄN</t>
        </is>
      </c>
      <c r="G293" t="inlineStr">
        <is>
          <t>OSKARSHAMN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46268</v>
      </c>
      <c r="F294" t="inlineStr">
        <is>
          <t>KALMAR LÄN</t>
        </is>
      </c>
      <c r="G294" t="inlineStr">
        <is>
          <t>OSKARSHAMN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46268</v>
      </c>
      <c r="F295" t="inlineStr">
        <is>
          <t>KALMAR LÄN</t>
        </is>
      </c>
      <c r="G295" t="inlineStr">
        <is>
          <t>OSKARSHAMN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45075</v>
      </c>
      <c r="E296" s="1" t="n">
        <v>46268</v>
      </c>
      <c r="F296" t="inlineStr">
        <is>
          <t>KALMAR LÄN</t>
        </is>
      </c>
      <c r="G296" t="inlineStr">
        <is>
          <t>OSKARSHAMN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46098</v>
      </c>
      <c r="E297" s="1" t="n">
        <v>46268</v>
      </c>
      <c r="F297" t="inlineStr">
        <is>
          <t>KALMAR LÄN</t>
        </is>
      </c>
      <c r="G297" t="inlineStr">
        <is>
          <t>OSKARSHAMN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45469</v>
      </c>
      <c r="E298" s="1" t="n">
        <v>46268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8656-2022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44613</v>
      </c>
      <c r="E299" s="1" t="n">
        <v>46268</v>
      </c>
      <c r="F299" t="inlineStr">
        <is>
          <t>KALMAR LÄN</t>
        </is>
      </c>
      <c r="G299" t="inlineStr">
        <is>
          <t>OSKARSHAMN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71340-2021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46268</v>
      </c>
      <c r="F300" t="inlineStr">
        <is>
          <t>KALMAR LÄN</t>
        </is>
      </c>
      <c r="G300" t="inlineStr">
        <is>
          <t>OSKARSHAMN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62931-2025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46009</v>
      </c>
      <c r="E301" s="1" t="n">
        <v>46268</v>
      </c>
      <c r="F301" t="inlineStr">
        <is>
          <t>KALMAR LÄN</t>
        </is>
      </c>
      <c r="G301" t="inlineStr">
        <is>
          <t>OSKARSHAMN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46268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62968-2025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46268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46268</v>
      </c>
      <c r="F304" t="inlineStr">
        <is>
          <t>KALMAR LÄN</t>
        </is>
      </c>
      <c r="G304" t="inlineStr">
        <is>
          <t>OSKARSHAMN</t>
        </is>
      </c>
      <c r="I304" t="n">
        <v>10.7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46268</v>
      </c>
      <c r="F305" t="inlineStr">
        <is>
          <t>KALMAR LÄN</t>
        </is>
      </c>
      <c r="G305" t="inlineStr">
        <is>
          <t>OSKARSHAMN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44951</v>
      </c>
      <c r="E306" s="1" t="n">
        <v>46268</v>
      </c>
      <c r="F306" t="inlineStr">
        <is>
          <t>KALMAR LÄN</t>
        </is>
      </c>
      <c r="G306" t="inlineStr">
        <is>
          <t>OSKARSHAMN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46268</v>
      </c>
      <c r="F307" t="inlineStr">
        <is>
          <t>KALMAR LÄN</t>
        </is>
      </c>
      <c r="G307" t="inlineStr">
        <is>
          <t>OSKARSHAMN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64476-2023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46268</v>
      </c>
      <c r="F308" t="inlineStr">
        <is>
          <t>KALMAR LÄN</t>
        </is>
      </c>
      <c r="G308" t="inlineStr">
        <is>
          <t>OSKARSHAMN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15525-2026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46106</v>
      </c>
      <c r="E309" s="1" t="n">
        <v>46268</v>
      </c>
      <c r="F309" t="inlineStr">
        <is>
          <t>KALMAR LÄN</t>
        </is>
      </c>
      <c r="G309" t="inlineStr">
        <is>
          <t>OSKARSHAMN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46268</v>
      </c>
      <c r="F310" t="inlineStr">
        <is>
          <t>KALMAR LÄN</t>
        </is>
      </c>
      <c r="G310" t="inlineStr">
        <is>
          <t>OSKARSHAMN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13204-2024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45386</v>
      </c>
      <c r="E311" s="1" t="n">
        <v>46268</v>
      </c>
      <c r="F311" t="inlineStr">
        <is>
          <t>KALMAR LÄN</t>
        </is>
      </c>
      <c r="G311" t="inlineStr">
        <is>
          <t>OSKARSHAMN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46268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46268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46268</v>
      </c>
      <c r="F314" t="inlineStr">
        <is>
          <t>KALMAR LÄN</t>
        </is>
      </c>
      <c r="G314" t="inlineStr">
        <is>
          <t>OSKARSHAMN</t>
        </is>
      </c>
      <c r="H314" t="inlineStr">
        <is>
          <t>Kommuner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46114</v>
      </c>
      <c r="E315" s="1" t="n">
        <v>46268</v>
      </c>
      <c r="F315" t="inlineStr">
        <is>
          <t>KALMAR LÄN</t>
        </is>
      </c>
      <c r="G315" t="inlineStr">
        <is>
          <t>OSKARSHAMN</t>
        </is>
      </c>
      <c r="H315" t="inlineStr">
        <is>
          <t>Kommuner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46268</v>
      </c>
      <c r="F316" t="inlineStr">
        <is>
          <t>KALMAR LÄN</t>
        </is>
      </c>
      <c r="G316" t="inlineStr">
        <is>
          <t>OSKARSHAMN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46268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18349-2023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45041</v>
      </c>
      <c r="E318" s="1" t="n">
        <v>46268</v>
      </c>
      <c r="F318" t="inlineStr">
        <is>
          <t>KALMAR LÄN</t>
        </is>
      </c>
      <c r="G318" t="inlineStr">
        <is>
          <t>OSKARSHAMN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18313-2026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46268</v>
      </c>
      <c r="F319" t="inlineStr">
        <is>
          <t>KALMAR LÄN</t>
        </is>
      </c>
      <c r="G319" t="inlineStr">
        <is>
          <t>OSKARSHAMN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46268</v>
      </c>
      <c r="F320" t="inlineStr">
        <is>
          <t>KALMAR LÄN</t>
        </is>
      </c>
      <c r="G320" t="inlineStr">
        <is>
          <t>OSKARSHAMN</t>
        </is>
      </c>
      <c r="H320" t="inlineStr">
        <is>
          <t>Kommuner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44621</v>
      </c>
      <c r="E321" s="1" t="n">
        <v>46268</v>
      </c>
      <c r="F321" t="inlineStr">
        <is>
          <t>KALMAR LÄN</t>
        </is>
      </c>
      <c r="G321" t="inlineStr">
        <is>
          <t>OSKARSHAMN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46268</v>
      </c>
      <c r="F322" t="inlineStr">
        <is>
          <t>KALMAR LÄN</t>
        </is>
      </c>
      <c r="G322" t="inlineStr">
        <is>
          <t>OSKARSHAMN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46268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46268</v>
      </c>
      <c r="F324" t="inlineStr">
        <is>
          <t>KALMAR LÄN</t>
        </is>
      </c>
      <c r="G324" t="inlineStr">
        <is>
          <t>OSKARSHAMN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45433</v>
      </c>
      <c r="E325" s="1" t="n">
        <v>46268</v>
      </c>
      <c r="F325" t="inlineStr">
        <is>
          <t>KALMAR LÄN</t>
        </is>
      </c>
      <c r="G325" t="inlineStr">
        <is>
          <t>OSKARSHAMN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22801-2024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45448</v>
      </c>
      <c r="E326" s="1" t="n">
        <v>46268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46268</v>
      </c>
      <c r="F327" t="inlineStr">
        <is>
          <t>KALMAR LÄN</t>
        </is>
      </c>
      <c r="G327" t="inlineStr">
        <is>
          <t>OSKARSHAMN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18978-2026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46128</v>
      </c>
      <c r="E328" s="1" t="n">
        <v>46268</v>
      </c>
      <c r="F328" t="inlineStr">
        <is>
          <t>KALMAR LÄN</t>
        </is>
      </c>
      <c r="G328" t="inlineStr">
        <is>
          <t>OSKARSHAMN</t>
        </is>
      </c>
      <c r="H328" t="inlineStr">
        <is>
          <t>Kommuner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72819-2021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44547</v>
      </c>
      <c r="E329" s="1" t="n">
        <v>46268</v>
      </c>
      <c r="F329" t="inlineStr">
        <is>
          <t>KALMAR LÄN</t>
        </is>
      </c>
      <c r="G329" t="inlineStr">
        <is>
          <t>OSKARSHAMN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46128</v>
      </c>
      <c r="E330" s="1" t="n">
        <v>46268</v>
      </c>
      <c r="F330" t="inlineStr">
        <is>
          <t>KALMAR LÄN</t>
        </is>
      </c>
      <c r="G330" t="inlineStr">
        <is>
          <t>OSKARSHAMN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44945</v>
      </c>
      <c r="E331" s="1" t="n">
        <v>46268</v>
      </c>
      <c r="F331" t="inlineStr">
        <is>
          <t>KALMAR LÄN</t>
        </is>
      </c>
      <c r="G331" t="inlineStr">
        <is>
          <t>OSKARSHAMN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45204</v>
      </c>
      <c r="E332" s="1" t="n">
        <v>46268</v>
      </c>
      <c r="F332" t="inlineStr">
        <is>
          <t>KALMAR LÄN</t>
        </is>
      </c>
      <c r="G332" t="inlineStr">
        <is>
          <t>OSKARSHAMN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46268</v>
      </c>
      <c r="F333" t="inlineStr">
        <is>
          <t>KALMAR LÄN</t>
        </is>
      </c>
      <c r="G333" t="inlineStr">
        <is>
          <t>OSKARSHAMN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49909-2022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44865</v>
      </c>
      <c r="E334" s="1" t="n">
        <v>46268</v>
      </c>
      <c r="F334" t="inlineStr">
        <is>
          <t>KALMAR LÄN</t>
        </is>
      </c>
      <c r="G334" t="inlineStr">
        <is>
          <t>OSKARSHAMN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45435</v>
      </c>
      <c r="E335" s="1" t="n">
        <v>46268</v>
      </c>
      <c r="F335" t="inlineStr">
        <is>
          <t>KALMAR LÄN</t>
        </is>
      </c>
      <c r="G335" t="inlineStr">
        <is>
          <t>OSKARSHAMN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46268</v>
      </c>
      <c r="F336" t="inlineStr">
        <is>
          <t>KALMAR LÄN</t>
        </is>
      </c>
      <c r="G336" t="inlineStr">
        <is>
          <t>OSKARSHAMN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46268</v>
      </c>
      <c r="F337" t="inlineStr">
        <is>
          <t>KALMAR LÄN</t>
        </is>
      </c>
      <c r="G337" t="inlineStr">
        <is>
          <t>OSKARSHAMN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44621</v>
      </c>
      <c r="E338" s="1" t="n">
        <v>46268</v>
      </c>
      <c r="F338" t="inlineStr">
        <is>
          <t>KALMAR LÄN</t>
        </is>
      </c>
      <c r="G338" t="inlineStr">
        <is>
          <t>OSKARSHAMN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45373</v>
      </c>
      <c r="E339" s="1" t="n">
        <v>46268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46268</v>
      </c>
      <c r="F340" t="inlineStr">
        <is>
          <t>KALMAR LÄN</t>
        </is>
      </c>
      <c r="G340" t="inlineStr">
        <is>
          <t>OSKARSHAMN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48536-2023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45208</v>
      </c>
      <c r="E341" s="1" t="n">
        <v>46268</v>
      </c>
      <c r="F341" t="inlineStr">
        <is>
          <t>KALMAR LÄN</t>
        </is>
      </c>
      <c r="G341" t="inlineStr">
        <is>
          <t>OSKARSHAMN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9407-2023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44981</v>
      </c>
      <c r="E342" s="1" t="n">
        <v>46268</v>
      </c>
      <c r="F342" t="inlineStr">
        <is>
          <t>KALMAR LÄN</t>
        </is>
      </c>
      <c r="G342" t="inlineStr">
        <is>
          <t>OSKARSHAMN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46268</v>
      </c>
      <c r="F343" t="inlineStr">
        <is>
          <t>KALMAR LÄN</t>
        </is>
      </c>
      <c r="G343" t="inlineStr">
        <is>
          <t>OSKARSHAMN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46007</v>
      </c>
      <c r="E344" s="1" t="n">
        <v>46268</v>
      </c>
      <c r="F344" t="inlineStr">
        <is>
          <t>KALMAR LÄN</t>
        </is>
      </c>
      <c r="G344" t="inlineStr">
        <is>
          <t>OSKARSHAMN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45695</v>
      </c>
      <c r="E345" s="1" t="n">
        <v>46268</v>
      </c>
      <c r="F345" t="inlineStr">
        <is>
          <t>KALMAR LÄN</t>
        </is>
      </c>
      <c r="G345" t="inlineStr">
        <is>
          <t>OSKARSHAMN</t>
        </is>
      </c>
      <c r="I345" t="n">
        <v>11.2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46268</v>
      </c>
      <c r="F346" t="inlineStr">
        <is>
          <t>KALMAR LÄN</t>
        </is>
      </c>
      <c r="G346" t="inlineStr">
        <is>
          <t>OSKARSHAMN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9253-2023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44980</v>
      </c>
      <c r="E347" s="1" t="n">
        <v>46268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46268</v>
      </c>
      <c r="F348" t="inlineStr">
        <is>
          <t>KALMAR LÄN</t>
        </is>
      </c>
      <c r="G348" t="inlineStr">
        <is>
          <t>OSKARSHAMN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45832</v>
      </c>
      <c r="E349" s="1" t="n">
        <v>46268</v>
      </c>
      <c r="F349" t="inlineStr">
        <is>
          <t>KALMAR LÄN</t>
        </is>
      </c>
      <c r="G349" t="inlineStr">
        <is>
          <t>OSKARSHAMN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46268</v>
      </c>
      <c r="F350" t="inlineStr">
        <is>
          <t>KALMAR LÄN</t>
        </is>
      </c>
      <c r="G350" t="inlineStr">
        <is>
          <t>OSKARSHAMN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46268</v>
      </c>
      <c r="F351" t="inlineStr">
        <is>
          <t>KALMAR LÄN</t>
        </is>
      </c>
      <c r="G351" t="inlineStr">
        <is>
          <t>OSKARSHAMN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44995</v>
      </c>
      <c r="E352" s="1" t="n">
        <v>46268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46268</v>
      </c>
      <c r="F353" t="inlineStr">
        <is>
          <t>KALMAR LÄN</t>
        </is>
      </c>
      <c r="G353" t="inlineStr">
        <is>
          <t>OSKARSHAMN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11464-2022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44630</v>
      </c>
      <c r="E354" s="1" t="n">
        <v>46268</v>
      </c>
      <c r="F354" t="inlineStr">
        <is>
          <t>KALMAR LÄN</t>
        </is>
      </c>
      <c r="G354" t="inlineStr">
        <is>
          <t>OSKARSHAMN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46268</v>
      </c>
      <c r="F355" t="inlineStr">
        <is>
          <t>KALMAR LÄN</t>
        </is>
      </c>
      <c r="G355" t="inlineStr">
        <is>
          <t>OSKARSHAMN</t>
        </is>
      </c>
      <c r="H355" t="inlineStr">
        <is>
          <t>Övriga Aktiebolag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45323</v>
      </c>
      <c r="E356" s="1" t="n">
        <v>46268</v>
      </c>
      <c r="F356" t="inlineStr">
        <is>
          <t>KALMAR LÄN</t>
        </is>
      </c>
      <c r="G356" t="inlineStr">
        <is>
          <t>OSKARSHAMN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13012-2023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46268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46268</v>
      </c>
      <c r="F358" t="inlineStr">
        <is>
          <t>KALMAR LÄN</t>
        </is>
      </c>
      <c r="G358" t="inlineStr">
        <is>
          <t>OSKARSHAMN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27486-2023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46268</v>
      </c>
      <c r="F359" t="inlineStr">
        <is>
          <t>KALMAR LÄN</t>
        </is>
      </c>
      <c r="G359" t="inlineStr">
        <is>
          <t>OSKARSHAMN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45012</v>
      </c>
      <c r="E360" s="1" t="n">
        <v>46268</v>
      </c>
      <c r="F360" t="inlineStr">
        <is>
          <t>KALMAR LÄN</t>
        </is>
      </c>
      <c r="G360" t="inlineStr">
        <is>
          <t>OSKARSHAMN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45763</v>
      </c>
      <c r="E361" s="1" t="n">
        <v>46268</v>
      </c>
      <c r="F361" t="inlineStr">
        <is>
          <t>KALMAR LÄN</t>
        </is>
      </c>
      <c r="G361" t="inlineStr">
        <is>
          <t>OSKARSHAMN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49889-2021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46268</v>
      </c>
      <c r="F362" t="inlineStr">
        <is>
          <t>KALMAR LÄN</t>
        </is>
      </c>
      <c r="G362" t="inlineStr">
        <is>
          <t>OSKARSHAMN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12567-2024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45379</v>
      </c>
      <c r="E363" s="1" t="n">
        <v>46268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45369</v>
      </c>
      <c r="E364" s="1" t="n">
        <v>46268</v>
      </c>
      <c r="F364" t="inlineStr">
        <is>
          <t>KALMAR LÄN</t>
        </is>
      </c>
      <c r="G364" t="inlineStr">
        <is>
          <t>OSKARSHAMN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44995</v>
      </c>
      <c r="E365" s="1" t="n">
        <v>46268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44820</v>
      </c>
      <c r="E366" s="1" t="n">
        <v>46268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45099</v>
      </c>
      <c r="E367" s="1" t="n">
        <v>46268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44917</v>
      </c>
      <c r="E368" s="1" t="n">
        <v>46268</v>
      </c>
      <c r="F368" t="inlineStr">
        <is>
          <t>KALMAR LÄN</t>
        </is>
      </c>
      <c r="G368" t="inlineStr">
        <is>
          <t>OSKARSHAMN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45968</v>
      </c>
      <c r="E369" s="1" t="n">
        <v>46268</v>
      </c>
      <c r="F369" t="inlineStr">
        <is>
          <t>KALMAR LÄN</t>
        </is>
      </c>
      <c r="G369" t="inlineStr">
        <is>
          <t>OSKARSHAMN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46268</v>
      </c>
      <c r="F370" t="inlineStr">
        <is>
          <t>KALMAR LÄN</t>
        </is>
      </c>
      <c r="G370" t="inlineStr">
        <is>
          <t>OSKARSHAMN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46268</v>
      </c>
      <c r="F371" t="inlineStr">
        <is>
          <t>KALMAR LÄN</t>
        </is>
      </c>
      <c r="G371" t="inlineStr">
        <is>
          <t>OSKARSHAMN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46268</v>
      </c>
      <c r="F372" t="inlineStr">
        <is>
          <t>KALMAR LÄN</t>
        </is>
      </c>
      <c r="G372" t="inlineStr">
        <is>
          <t>OSKARSHAMN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46268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46268</v>
      </c>
      <c r="F374" t="inlineStr">
        <is>
          <t>KALMAR LÄN</t>
        </is>
      </c>
      <c r="G374" t="inlineStr">
        <is>
          <t>OSKARSHAMN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44621</v>
      </c>
      <c r="E375" s="1" t="n">
        <v>46268</v>
      </c>
      <c r="F375" t="inlineStr">
        <is>
          <t>KALMAR LÄN</t>
        </is>
      </c>
      <c r="G375" t="inlineStr">
        <is>
          <t>OSKARSHAMN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45985</v>
      </c>
      <c r="E376" s="1" t="n">
        <v>46268</v>
      </c>
      <c r="F376" t="inlineStr">
        <is>
          <t>KALMAR LÄN</t>
        </is>
      </c>
      <c r="G376" t="inlineStr">
        <is>
          <t>OSKARSHAMN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45448</v>
      </c>
      <c r="E377" s="1" t="n">
        <v>46268</v>
      </c>
      <c r="F377" t="inlineStr">
        <is>
          <t>KALMAR LÄN</t>
        </is>
      </c>
      <c r="G377" t="inlineStr">
        <is>
          <t>OSKARSHAMN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45110</v>
      </c>
      <c r="E378" s="1" t="n">
        <v>46268</v>
      </c>
      <c r="F378" t="inlineStr">
        <is>
          <t>KALMAR LÄN</t>
        </is>
      </c>
      <c r="G378" t="inlineStr">
        <is>
          <t>OSKARSHAMN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62390-2025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46268</v>
      </c>
      <c r="F379" t="inlineStr">
        <is>
          <t>KALMAR LÄN</t>
        </is>
      </c>
      <c r="G379" t="inlineStr">
        <is>
          <t>OSKARSHAMN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46268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45075</v>
      </c>
      <c r="E381" s="1" t="n">
        <v>46268</v>
      </c>
      <c r="F381" t="inlineStr">
        <is>
          <t>KALMAR LÄN</t>
        </is>
      </c>
      <c r="G381" t="inlineStr">
        <is>
          <t>OSKARSHAMN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45483</v>
      </c>
      <c r="E382" s="1" t="n">
        <v>46268</v>
      </c>
      <c r="F382" t="inlineStr">
        <is>
          <t>KALMAR LÄN</t>
        </is>
      </c>
      <c r="G382" t="inlineStr">
        <is>
          <t>OSKARSHAMN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45884</v>
      </c>
      <c r="E383" s="1" t="n">
        <v>46268</v>
      </c>
      <c r="F383" t="inlineStr">
        <is>
          <t>KALMAR LÄN</t>
        </is>
      </c>
      <c r="G383" t="inlineStr">
        <is>
          <t>OSKARSHAMN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46268</v>
      </c>
      <c r="F384" t="inlineStr">
        <is>
          <t>KALMAR LÄN</t>
        </is>
      </c>
      <c r="G384" t="inlineStr">
        <is>
          <t>OSKARSHAMN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45695</v>
      </c>
      <c r="E385" s="1" t="n">
        <v>46268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46268</v>
      </c>
      <c r="F386" t="inlineStr">
        <is>
          <t>KALMAR LÄN</t>
        </is>
      </c>
      <c r="G386" t="inlineStr">
        <is>
          <t>OSKARSHAMN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46268</v>
      </c>
      <c r="F387" t="inlineStr">
        <is>
          <t>KALMAR LÄN</t>
        </is>
      </c>
      <c r="G387" t="inlineStr">
        <is>
          <t>OSKARSHAMN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45348</v>
      </c>
      <c r="E388" s="1" t="n">
        <v>46268</v>
      </c>
      <c r="F388" t="inlineStr">
        <is>
          <t>KALMAR LÄN</t>
        </is>
      </c>
      <c r="G388" t="inlineStr">
        <is>
          <t>OSKARSHAMN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46268</v>
      </c>
      <c r="F389" t="inlineStr">
        <is>
          <t>KALMAR LÄN</t>
        </is>
      </c>
      <c r="G389" t="inlineStr">
        <is>
          <t>OSKARSHAMN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20758-2026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46141</v>
      </c>
      <c r="E390" s="1" t="n">
        <v>46268</v>
      </c>
      <c r="F390" t="inlineStr">
        <is>
          <t>KALMAR LÄN</t>
        </is>
      </c>
      <c r="G390" t="inlineStr">
        <is>
          <t>OSKARSHAMN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46268</v>
      </c>
      <c r="F391" t="inlineStr">
        <is>
          <t>KALMAR LÄN</t>
        </is>
      </c>
      <c r="G391" t="inlineStr">
        <is>
          <t>OSKARSHAMN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73404-2021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44551</v>
      </c>
      <c r="E392" s="1" t="n">
        <v>46268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46141</v>
      </c>
      <c r="E393" s="1" t="n">
        <v>46268</v>
      </c>
      <c r="F393" t="inlineStr">
        <is>
          <t>KALMAR LÄN</t>
        </is>
      </c>
      <c r="G393" t="inlineStr">
        <is>
          <t>OSKARSHAMN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46268</v>
      </c>
      <c r="F394" t="inlineStr">
        <is>
          <t>KALMAR LÄN</t>
        </is>
      </c>
      <c r="G394" t="inlineStr">
        <is>
          <t>OSKARSHAMN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44505</v>
      </c>
      <c r="E395" s="1" t="n">
        <v>46268</v>
      </c>
      <c r="F395" t="inlineStr">
        <is>
          <t>KALMAR LÄN</t>
        </is>
      </c>
      <c r="G395" t="inlineStr">
        <is>
          <t>OSKARSHAMN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46268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72786-2021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44547</v>
      </c>
      <c r="E397" s="1" t="n">
        <v>46268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16186-2024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45406</v>
      </c>
      <c r="E398" s="1" t="n">
        <v>46268</v>
      </c>
      <c r="F398" t="inlineStr">
        <is>
          <t>KALMAR LÄN</t>
        </is>
      </c>
      <c r="G398" t="inlineStr">
        <is>
          <t>OSKARSHAMN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16280-2024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45407</v>
      </c>
      <c r="E399" s="1" t="n">
        <v>46268</v>
      </c>
      <c r="F399" t="inlineStr">
        <is>
          <t>KALMAR LÄN</t>
        </is>
      </c>
      <c r="G399" t="inlineStr">
        <is>
          <t>OSKARSHAMN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45056</v>
      </c>
      <c r="E400" s="1" t="n">
        <v>46268</v>
      </c>
      <c r="F400" t="inlineStr">
        <is>
          <t>KALMAR LÄN</t>
        </is>
      </c>
      <c r="G400" t="inlineStr">
        <is>
          <t>OSKARSHAMN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46268</v>
      </c>
      <c r="F401" t="inlineStr">
        <is>
          <t>KALMAR LÄN</t>
        </is>
      </c>
      <c r="G401" t="inlineStr">
        <is>
          <t>OSKARSHAMN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21307-2026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46268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60717-2024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45644</v>
      </c>
      <c r="E403" s="1" t="n">
        <v>46268</v>
      </c>
      <c r="F403" t="inlineStr">
        <is>
          <t>KALMAR LÄN</t>
        </is>
      </c>
      <c r="G403" t="inlineStr">
        <is>
          <t>OSKARSHAMN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21357-2026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46147</v>
      </c>
      <c r="E404" s="1" t="n">
        <v>46268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45090</v>
      </c>
      <c r="E405" s="1" t="n">
        <v>46268</v>
      </c>
      <c r="F405" t="inlineStr">
        <is>
          <t>KALMAR LÄN</t>
        </is>
      </c>
      <c r="G405" t="inlineStr">
        <is>
          <t>OSKARSHAMN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46268</v>
      </c>
      <c r="F406" t="inlineStr">
        <is>
          <t>KALMAR LÄN</t>
        </is>
      </c>
      <c r="G406" t="inlineStr">
        <is>
          <t>OSKARSHAMN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29755-2022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44755</v>
      </c>
      <c r="E407" s="1" t="n">
        <v>46268</v>
      </c>
      <c r="F407" t="inlineStr">
        <is>
          <t>KALMAR LÄN</t>
        </is>
      </c>
      <c r="G407" t="inlineStr">
        <is>
          <t>OSKARSHAMN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50572-2024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45601</v>
      </c>
      <c r="E408" s="1" t="n">
        <v>46268</v>
      </c>
      <c r="F408" t="inlineStr">
        <is>
          <t>KALMAR LÄN</t>
        </is>
      </c>
      <c r="G408" t="inlineStr">
        <is>
          <t>OSKARSHAMN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46268</v>
      </c>
      <c r="F409" t="inlineStr">
        <is>
          <t>KALMAR LÄN</t>
        </is>
      </c>
      <c r="G409" t="inlineStr">
        <is>
          <t>OSKARSHAMN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46268</v>
      </c>
      <c r="F410" t="inlineStr">
        <is>
          <t>KALMAR LÄN</t>
        </is>
      </c>
      <c r="G410" t="inlineStr">
        <is>
          <t>OSKARSHAMN</t>
        </is>
      </c>
      <c r="I410" t="n">
        <v>11.8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45240</v>
      </c>
      <c r="E411" s="1" t="n">
        <v>46268</v>
      </c>
      <c r="F411" t="inlineStr">
        <is>
          <t>KALMAR LÄN</t>
        </is>
      </c>
      <c r="G411" t="inlineStr">
        <is>
          <t>OSKARSHAMN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45687</v>
      </c>
      <c r="E412" s="1" t="n">
        <v>46268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59710-2021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46268</v>
      </c>
      <c r="F413" t="inlineStr">
        <is>
          <t>KALMAR LÄN</t>
        </is>
      </c>
      <c r="G413" t="inlineStr">
        <is>
          <t>OSKARSHAMN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44879</v>
      </c>
      <c r="E414" s="1" t="n">
        <v>46268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46268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34827-2024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45526</v>
      </c>
      <c r="E416" s="1" t="n">
        <v>46268</v>
      </c>
      <c r="F416" t="inlineStr">
        <is>
          <t>KALMAR LÄN</t>
        </is>
      </c>
      <c r="G416" t="inlineStr">
        <is>
          <t>OSKARSHAMN</t>
        </is>
      </c>
      <c r="H416" t="inlineStr">
        <is>
          <t>Sveaskog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44951</v>
      </c>
      <c r="E417" s="1" t="n">
        <v>46268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44908</v>
      </c>
      <c r="E418" s="1" t="n">
        <v>46268</v>
      </c>
      <c r="F418" t="inlineStr">
        <is>
          <t>KALMAR LÄN</t>
        </is>
      </c>
      <c r="G418" t="inlineStr">
        <is>
          <t>OSKARSHAMN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46268</v>
      </c>
      <c r="F419" t="inlineStr">
        <is>
          <t>KALMAR LÄN</t>
        </is>
      </c>
      <c r="G419" t="inlineStr">
        <is>
          <t>OSKARSHAMN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44713</v>
      </c>
      <c r="E420" s="1" t="n">
        <v>46268</v>
      </c>
      <c r="F420" t="inlineStr">
        <is>
          <t>KALMAR LÄN</t>
        </is>
      </c>
      <c r="G420" t="inlineStr">
        <is>
          <t>OSKARSHAMN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46268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26132-2023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45091</v>
      </c>
      <c r="E422" s="1" t="n">
        <v>46268</v>
      </c>
      <c r="F422" t="inlineStr">
        <is>
          <t>KALMAR LÄN</t>
        </is>
      </c>
      <c r="G422" t="inlineStr">
        <is>
          <t>OSKARSHAMN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46268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46268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46268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46171</v>
      </c>
      <c r="E426" s="1" t="n">
        <v>46268</v>
      </c>
      <c r="F426" t="inlineStr">
        <is>
          <t>KALMAR LÄN</t>
        </is>
      </c>
      <c r="G426" t="inlineStr">
        <is>
          <t>OSKARSHAMN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44900</v>
      </c>
      <c r="E427" s="1" t="n">
        <v>46268</v>
      </c>
      <c r="F427" t="inlineStr">
        <is>
          <t>KALMAR LÄN</t>
        </is>
      </c>
      <c r="G427" t="inlineStr">
        <is>
          <t>OSKARSHAMN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45341</v>
      </c>
      <c r="E428" s="1" t="n">
        <v>46268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71342-2021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44539</v>
      </c>
      <c r="E429" s="1" t="n">
        <v>46268</v>
      </c>
      <c r="F429" t="inlineStr">
        <is>
          <t>KALMAR LÄN</t>
        </is>
      </c>
      <c r="G429" t="inlineStr">
        <is>
          <t>OSKARSHAMN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46268</v>
      </c>
      <c r="F430" t="inlineStr">
        <is>
          <t>KALMAR LÄN</t>
        </is>
      </c>
      <c r="G430" t="inlineStr">
        <is>
          <t>OSKARSHAMN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21921-2022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44711</v>
      </c>
      <c r="E431" s="1" t="n">
        <v>46268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7962-2022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44608</v>
      </c>
      <c r="E432" s="1" t="n">
        <v>46268</v>
      </c>
      <c r="F432" t="inlineStr">
        <is>
          <t>KALMAR LÄN</t>
        </is>
      </c>
      <c r="G432" t="inlineStr">
        <is>
          <t>OSKARSHAMN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46268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59699-2023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45256</v>
      </c>
      <c r="E434" s="1" t="n">
        <v>46268</v>
      </c>
      <c r="F434" t="inlineStr">
        <is>
          <t>KALMAR LÄN</t>
        </is>
      </c>
      <c r="G434" t="inlineStr">
        <is>
          <t>OSKARSHAMN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46268</v>
      </c>
      <c r="F435" t="inlineStr">
        <is>
          <t>KALMAR LÄN</t>
        </is>
      </c>
      <c r="G435" t="inlineStr">
        <is>
          <t>OSKARSHAMN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45195</v>
      </c>
      <c r="E436" s="1" t="n">
        <v>46268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9919-2022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46268</v>
      </c>
      <c r="F437" t="inlineStr">
        <is>
          <t>KALMAR LÄN</t>
        </is>
      </c>
      <c r="G437" t="inlineStr">
        <is>
          <t>OSKARSHAMN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51383-2021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44461</v>
      </c>
      <c r="E438" s="1" t="n">
        <v>46268</v>
      </c>
      <c r="F438" t="inlineStr">
        <is>
          <t>KALMAR LÄN</t>
        </is>
      </c>
      <c r="G438" t="inlineStr">
        <is>
          <t>OSKARSHAMN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47934-2023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46268</v>
      </c>
      <c r="F439" t="inlineStr">
        <is>
          <t>KALMAR LÄN</t>
        </is>
      </c>
      <c r="G439" t="inlineStr">
        <is>
          <t>OSKARSHAMN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46268</v>
      </c>
      <c r="F440" t="inlineStr">
        <is>
          <t>KALMAR LÄN</t>
        </is>
      </c>
      <c r="G440" t="inlineStr">
        <is>
          <t>OSKARSHAMN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46268</v>
      </c>
      <c r="F441" t="inlineStr">
        <is>
          <t>KALMAR LÄN</t>
        </is>
      </c>
      <c r="G441" t="inlineStr">
        <is>
          <t>OSKARSHAMN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45560</v>
      </c>
      <c r="E442" s="1" t="n">
        <v>46268</v>
      </c>
      <c r="F442" t="inlineStr">
        <is>
          <t>KALMAR LÄN</t>
        </is>
      </c>
      <c r="G442" t="inlineStr">
        <is>
          <t>OSKARSHAMN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46230</v>
      </c>
      <c r="E443" s="1" t="n">
        <v>46268</v>
      </c>
      <c r="F443" t="inlineStr">
        <is>
          <t>KALMAR LÄN</t>
        </is>
      </c>
      <c r="G443" t="inlineStr">
        <is>
          <t>OSKARSHAMN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46268</v>
      </c>
      <c r="F444" t="inlineStr">
        <is>
          <t>KALMAR LÄN</t>
        </is>
      </c>
      <c r="G444" t="inlineStr">
        <is>
          <t>OSKARSHAMN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45691</v>
      </c>
      <c r="E445" s="1" t="n">
        <v>46268</v>
      </c>
      <c r="F445" t="inlineStr">
        <is>
          <t>KALMAR LÄN</t>
        </is>
      </c>
      <c r="G445" t="inlineStr">
        <is>
          <t>OSKARSHAMN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57483-2021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44483</v>
      </c>
      <c r="E446" s="1" t="n">
        <v>46268</v>
      </c>
      <c r="F446" t="inlineStr">
        <is>
          <t>KALMAR LÄN</t>
        </is>
      </c>
      <c r="G446" t="inlineStr">
        <is>
          <t>OSKARSHAMN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46268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44585</v>
      </c>
      <c r="E448" s="1" t="n">
        <v>46268</v>
      </c>
      <c r="F448" t="inlineStr">
        <is>
          <t>KALMAR LÄN</t>
        </is>
      </c>
      <c r="G448" t="inlineStr">
        <is>
          <t>OSKARSHAMN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11450-2024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45372</v>
      </c>
      <c r="E449" s="1" t="n">
        <v>46268</v>
      </c>
      <c r="F449" t="inlineStr">
        <is>
          <t>KALMAR LÄN</t>
        </is>
      </c>
      <c r="G449" t="inlineStr">
        <is>
          <t>OSKARSHAMN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45317</v>
      </c>
      <c r="E450" s="1" t="n">
        <v>46268</v>
      </c>
      <c r="F450" t="inlineStr">
        <is>
          <t>KALMAR LÄN</t>
        </is>
      </c>
      <c r="G450" t="inlineStr">
        <is>
          <t>OSKARSHAMN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46268</v>
      </c>
      <c r="F451" t="inlineStr">
        <is>
          <t>KALMAR LÄN</t>
        </is>
      </c>
      <c r="G451" t="inlineStr">
        <is>
          <t>OSKARSHAMN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46268</v>
      </c>
      <c r="F452" t="inlineStr">
        <is>
          <t>KALMAR LÄN</t>
        </is>
      </c>
      <c r="G452" t="inlineStr">
        <is>
          <t>OSKARSHAMN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46268</v>
      </c>
      <c r="F453" t="inlineStr">
        <is>
          <t>KALMAR LÄN</t>
        </is>
      </c>
      <c r="G453" t="inlineStr">
        <is>
          <t>OSKARSHAMN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50169-2022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46268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45056</v>
      </c>
      <c r="E455" s="1" t="n">
        <v>46268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46977-2021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44446</v>
      </c>
      <c r="E456" s="1" t="n">
        <v>46268</v>
      </c>
      <c r="F456" t="inlineStr">
        <is>
          <t>KALMAR LÄN</t>
        </is>
      </c>
      <c r="G456" t="inlineStr">
        <is>
          <t>OSKARSHAMN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29619-2026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46199</v>
      </c>
      <c r="E457" s="1" t="n">
        <v>46268</v>
      </c>
      <c r="F457" t="inlineStr">
        <is>
          <t>KALMAR LÄN</t>
        </is>
      </c>
      <c r="G457" t="inlineStr">
        <is>
          <t>OSKARSHAMN</t>
        </is>
      </c>
      <c r="H457" t="inlineStr">
        <is>
          <t>Kommuner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22818-2024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45448</v>
      </c>
      <c r="E458" s="1" t="n">
        <v>46268</v>
      </c>
      <c r="F458" t="inlineStr">
        <is>
          <t>KALMAR LÄN</t>
        </is>
      </c>
      <c r="G458" t="inlineStr">
        <is>
          <t>OSKARSHAMN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45448</v>
      </c>
      <c r="E459" s="1" t="n">
        <v>46268</v>
      </c>
      <c r="F459" t="inlineStr">
        <is>
          <t>KALMAR LÄN</t>
        </is>
      </c>
      <c r="G459" t="inlineStr">
        <is>
          <t>OSKARSHAMN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45015</v>
      </c>
      <c r="E460" s="1" t="n">
        <v>46268</v>
      </c>
      <c r="F460" t="inlineStr">
        <is>
          <t>KALMAR LÄN</t>
        </is>
      </c>
      <c r="G460" t="inlineStr">
        <is>
          <t>OSKARSHAMN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45329</v>
      </c>
      <c r="E461" s="1" t="n">
        <v>46268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28487-2026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46268</v>
      </c>
      <c r="F462" t="inlineStr">
        <is>
          <t>KALMAR LÄN</t>
        </is>
      </c>
      <c r="G462" t="inlineStr">
        <is>
          <t>OSKARSHAMN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46268</v>
      </c>
      <c r="F463" t="inlineStr">
        <is>
          <t>KALMAR LÄN</t>
        </is>
      </c>
      <c r="G463" t="inlineStr">
        <is>
          <t>OSKARSHAMN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46268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46268</v>
      </c>
      <c r="F465" t="inlineStr">
        <is>
          <t>KALMAR LÄN</t>
        </is>
      </c>
      <c r="G465" t="inlineStr">
        <is>
          <t>OSKARSHAMN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46268</v>
      </c>
      <c r="F466" t="inlineStr">
        <is>
          <t>KALMAR LÄN</t>
        </is>
      </c>
      <c r="G466" t="inlineStr">
        <is>
          <t>OSKARSHAMN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28100-2026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46195</v>
      </c>
      <c r="E467" s="1" t="n">
        <v>46268</v>
      </c>
      <c r="F467" t="inlineStr">
        <is>
          <t>KALMAR LÄN</t>
        </is>
      </c>
      <c r="G467" t="inlineStr">
        <is>
          <t>OSKARSHAMN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46268</v>
      </c>
      <c r="F468" t="inlineStr">
        <is>
          <t>KALMAR LÄN</t>
        </is>
      </c>
      <c r="G468" t="inlineStr">
        <is>
          <t>OSKARSHAMN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46268</v>
      </c>
      <c r="F469" t="inlineStr">
        <is>
          <t>KALMAR LÄN</t>
        </is>
      </c>
      <c r="G469" t="inlineStr">
        <is>
          <t>OSKARSHAMN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46268</v>
      </c>
      <c r="F470" t="inlineStr">
        <is>
          <t>KALMAR LÄN</t>
        </is>
      </c>
      <c r="G470" t="inlineStr">
        <is>
          <t>OSKARSHAMN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46243</v>
      </c>
      <c r="E471" s="1" t="n">
        <v>46268</v>
      </c>
      <c r="F471" t="inlineStr">
        <is>
          <t>KALMAR LÄN</t>
        </is>
      </c>
      <c r="G471" t="inlineStr">
        <is>
          <t>OSKARSHAMN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27919-2023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46268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32902-2026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46244</v>
      </c>
      <c r="E473" s="1" t="n">
        <v>46268</v>
      </c>
      <c r="F473" t="inlineStr">
        <is>
          <t>KALMAR LÄN</t>
        </is>
      </c>
      <c r="G473" t="inlineStr">
        <is>
          <t>OSKARSHAMN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51766-2024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45604</v>
      </c>
      <c r="E474" s="1" t="n">
        <v>46268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45898-2024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45580</v>
      </c>
      <c r="E475" s="1" t="n">
        <v>46268</v>
      </c>
      <c r="F475" t="inlineStr">
        <is>
          <t>KALMAR LÄN</t>
        </is>
      </c>
      <c r="G475" t="inlineStr">
        <is>
          <t>OSKARSHAMN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45377</v>
      </c>
      <c r="E476" s="1" t="n">
        <v>46268</v>
      </c>
      <c r="F476" t="inlineStr">
        <is>
          <t>KALMAR LÄN</t>
        </is>
      </c>
      <c r="G476" t="inlineStr">
        <is>
          <t>OSKARSHAMN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46243</v>
      </c>
      <c r="E477" s="1" t="n">
        <v>46268</v>
      </c>
      <c r="F477" t="inlineStr">
        <is>
          <t>KALMAR LÄN</t>
        </is>
      </c>
      <c r="G477" t="inlineStr">
        <is>
          <t>OSKARSHAMN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28909-2026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46199</v>
      </c>
      <c r="E478" s="1" t="n">
        <v>46268</v>
      </c>
      <c r="F478" t="inlineStr">
        <is>
          <t>KALMAR LÄN</t>
        </is>
      </c>
      <c r="G478" t="inlineStr">
        <is>
          <t>OSKARSHAMN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56576-2024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45625</v>
      </c>
      <c r="E479" s="1" t="n">
        <v>46268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46203</v>
      </c>
      <c r="E480" s="1" t="n">
        <v>46268</v>
      </c>
      <c r="F480" t="inlineStr">
        <is>
          <t>KALMAR LÄN</t>
        </is>
      </c>
      <c r="G480" t="inlineStr">
        <is>
          <t>OSKARSHAMN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44733</v>
      </c>
      <c r="E481" s="1" t="n">
        <v>46268</v>
      </c>
      <c r="F481" t="inlineStr">
        <is>
          <t>KALMAR LÄN</t>
        </is>
      </c>
      <c r="G481" t="inlineStr">
        <is>
          <t>OSKARSHAMN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46268</v>
      </c>
      <c r="F482" t="inlineStr">
        <is>
          <t>KALMAR LÄN</t>
        </is>
      </c>
      <c r="G482" t="inlineStr">
        <is>
          <t>OSKARSHAMN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46268</v>
      </c>
      <c r="F483" t="inlineStr">
        <is>
          <t>KALMAR LÄN</t>
        </is>
      </c>
      <c r="G483" t="inlineStr">
        <is>
          <t>OSKARSHAMN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45385</v>
      </c>
      <c r="E484" s="1" t="n">
        <v>46268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46268</v>
      </c>
      <c r="F485" t="inlineStr">
        <is>
          <t>KALMAR LÄN</t>
        </is>
      </c>
      <c r="G485" t="inlineStr">
        <is>
          <t>OSKARSHAMN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46268</v>
      </c>
      <c r="F486" t="inlineStr">
        <is>
          <t>KALMAR LÄN</t>
        </is>
      </c>
      <c r="G486" t="inlineStr">
        <is>
          <t>OSKARSHAMN</t>
        </is>
      </c>
      <c r="I486" t="n">
        <v>15.3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45092</v>
      </c>
      <c r="E487" s="1" t="n">
        <v>46268</v>
      </c>
      <c r="F487" t="inlineStr">
        <is>
          <t>KALMAR LÄN</t>
        </is>
      </c>
      <c r="G487" t="inlineStr">
        <is>
          <t>OSKARSHAMN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45034</v>
      </c>
      <c r="E488" s="1" t="n">
        <v>46268</v>
      </c>
      <c r="F488" t="inlineStr">
        <is>
          <t>KALMAR LÄN</t>
        </is>
      </c>
      <c r="G488" t="inlineStr">
        <is>
          <t>OSKARSHAMN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30273-2024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45490</v>
      </c>
      <c r="E489" s="1" t="n">
        <v>46268</v>
      </c>
      <c r="F489" t="inlineStr">
        <is>
          <t>KALMAR LÄN</t>
        </is>
      </c>
      <c r="G489" t="inlineStr">
        <is>
          <t>OSKARSHAMN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46202</v>
      </c>
      <c r="E490" s="1" t="n">
        <v>46268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28810-2026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46268</v>
      </c>
      <c r="F491" t="inlineStr">
        <is>
          <t>KALMAR LÄN</t>
        </is>
      </c>
      <c r="G491" t="inlineStr">
        <is>
          <t>OSKARSHAMN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28813-2026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46268</v>
      </c>
      <c r="F492" t="inlineStr">
        <is>
          <t>KALMAR LÄN</t>
        </is>
      </c>
      <c r="G492" t="inlineStr">
        <is>
          <t>OSKARSHAMN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46268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46268</v>
      </c>
      <c r="F494" t="inlineStr">
        <is>
          <t>KALMAR LÄN</t>
        </is>
      </c>
      <c r="G494" t="inlineStr">
        <is>
          <t>OSKARSHAMN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45603</v>
      </c>
      <c r="E495" s="1" t="n">
        <v>46268</v>
      </c>
      <c r="F495" t="inlineStr">
        <is>
          <t>KALMAR LÄN</t>
        </is>
      </c>
      <c r="G495" t="inlineStr">
        <is>
          <t>OSKARSHAMN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59002-2021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44490</v>
      </c>
      <c r="E496" s="1" t="n">
        <v>46268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46268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32937-2023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45113</v>
      </c>
      <c r="E498" s="1" t="n">
        <v>46268</v>
      </c>
      <c r="F498" t="inlineStr">
        <is>
          <t>KALMAR LÄN</t>
        </is>
      </c>
      <c r="G498" t="inlineStr">
        <is>
          <t>OSKARSHAMN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45720</v>
      </c>
      <c r="E499" s="1" t="n">
        <v>46268</v>
      </c>
      <c r="F499" t="inlineStr">
        <is>
          <t>KALMAR LÄN</t>
        </is>
      </c>
      <c r="G499" t="inlineStr">
        <is>
          <t>OSKARSHAMN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45519</v>
      </c>
      <c r="E500" s="1" t="n">
        <v>46268</v>
      </c>
      <c r="F500" t="inlineStr">
        <is>
          <t>KALMAR LÄN</t>
        </is>
      </c>
      <c r="G500" t="inlineStr">
        <is>
          <t>OSKARSHAMN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46268</v>
      </c>
      <c r="F501" t="inlineStr">
        <is>
          <t>KALMAR LÄN</t>
        </is>
      </c>
      <c r="G501" t="inlineStr">
        <is>
          <t>OSKARSHAMN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45012</v>
      </c>
      <c r="E502" s="1" t="n">
        <v>46268</v>
      </c>
      <c r="F502" t="inlineStr">
        <is>
          <t>KALMAR LÄN</t>
        </is>
      </c>
      <c r="G502" t="inlineStr">
        <is>
          <t>OSKARSHAMN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46268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35544-2024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45531</v>
      </c>
      <c r="E504" s="1" t="n">
        <v>46268</v>
      </c>
      <c r="F504" t="inlineStr">
        <is>
          <t>KALMAR LÄN</t>
        </is>
      </c>
      <c r="G504" t="inlineStr">
        <is>
          <t>OSKARSHAMN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46268</v>
      </c>
      <c r="F505" t="inlineStr">
        <is>
          <t>KALMAR LÄN</t>
        </is>
      </c>
      <c r="G505" t="inlineStr">
        <is>
          <t>OSKARSHAMN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46268</v>
      </c>
      <c r="F506" t="inlineStr">
        <is>
          <t>KALMAR LÄN</t>
        </is>
      </c>
      <c r="G506" t="inlineStr">
        <is>
          <t>OSKARSHAMN</t>
        </is>
      </c>
      <c r="H506" t="inlineStr">
        <is>
          <t>Sveaskog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45391</v>
      </c>
      <c r="E507" s="1" t="n">
        <v>46268</v>
      </c>
      <c r="F507" t="inlineStr">
        <is>
          <t>KALMAR LÄN</t>
        </is>
      </c>
      <c r="G507" t="inlineStr">
        <is>
          <t>OSKARSHAMN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30281-2024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45490</v>
      </c>
      <c r="E508" s="1" t="n">
        <v>46268</v>
      </c>
      <c r="F508" t="inlineStr">
        <is>
          <t>KALMAR LÄN</t>
        </is>
      </c>
      <c r="G508" t="inlineStr">
        <is>
          <t>OSKARSHAMN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44980</v>
      </c>
      <c r="E509" s="1" t="n">
        <v>46268</v>
      </c>
      <c r="F509" t="inlineStr">
        <is>
          <t>KALMAR LÄN</t>
        </is>
      </c>
      <c r="G509" t="inlineStr">
        <is>
          <t>OSKARSHAMN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29145-2023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46268</v>
      </c>
      <c r="F510" t="inlineStr">
        <is>
          <t>KALMAR LÄN</t>
        </is>
      </c>
      <c r="G510" t="inlineStr">
        <is>
          <t>OSKARSHAMN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46268</v>
      </c>
      <c r="F511" t="inlineStr">
        <is>
          <t>KALMAR LÄN</t>
        </is>
      </c>
      <c r="G511" t="inlineStr">
        <is>
          <t>OSKARSHAMN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45041</v>
      </c>
      <c r="E512" s="1" t="n">
        <v>46268</v>
      </c>
      <c r="F512" t="inlineStr">
        <is>
          <t>KALMAR LÄN</t>
        </is>
      </c>
      <c r="G512" t="inlineStr">
        <is>
          <t>OSKARSHAMN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44943</v>
      </c>
      <c r="E513" s="1" t="n">
        <v>46268</v>
      </c>
      <c r="F513" t="inlineStr">
        <is>
          <t>KALMAR LÄN</t>
        </is>
      </c>
      <c r="G513" t="inlineStr">
        <is>
          <t>OSKARSHAMN</t>
        </is>
      </c>
      <c r="I513" t="n">
        <v>10.8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46211</v>
      </c>
      <c r="E514" s="1" t="n">
        <v>46268</v>
      </c>
      <c r="F514" t="inlineStr">
        <is>
          <t>KALMAR LÄN</t>
        </is>
      </c>
      <c r="G514" t="inlineStr">
        <is>
          <t>OSKARSHAMN</t>
        </is>
      </c>
      <c r="I514" t="n">
        <v>13.6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45405</v>
      </c>
      <c r="E515" s="1" t="n">
        <v>46268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46268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46268</v>
      </c>
      <c r="F517" t="inlineStr">
        <is>
          <t>KALMAR LÄN</t>
        </is>
      </c>
      <c r="G517" t="inlineStr">
        <is>
          <t>OSKARSHAMN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44865</v>
      </c>
      <c r="E518" s="1" t="n">
        <v>46268</v>
      </c>
      <c r="F518" t="inlineStr">
        <is>
          <t>KALMAR LÄN</t>
        </is>
      </c>
      <c r="G518" t="inlineStr">
        <is>
          <t>OSKARSHAMN</t>
        </is>
      </c>
      <c r="H518" t="inlineStr">
        <is>
          <t>Övriga Aktiebolag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46268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46268</v>
      </c>
      <c r="F520" t="inlineStr">
        <is>
          <t>KALMAR LÄN</t>
        </is>
      </c>
      <c r="G520" t="inlineStr">
        <is>
          <t>OSKARSHAMN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30289-2024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46268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46268</v>
      </c>
      <c r="F522" t="inlineStr">
        <is>
          <t>KALMAR LÄN</t>
        </is>
      </c>
      <c r="G522" t="inlineStr">
        <is>
          <t>OSKARSHAMN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46268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46268</v>
      </c>
      <c r="F524" t="inlineStr">
        <is>
          <t>KALMAR LÄN</t>
        </is>
      </c>
      <c r="G524" t="inlineStr">
        <is>
          <t>OSKARSHAMN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46268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46268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46210</v>
      </c>
      <c r="E527" s="1" t="n">
        <v>46268</v>
      </c>
      <c r="F527" t="inlineStr">
        <is>
          <t>KALMAR LÄN</t>
        </is>
      </c>
      <c r="G527" t="inlineStr">
        <is>
          <t>OSKARSHAMN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45314</v>
      </c>
      <c r="E528" s="1" t="n">
        <v>46268</v>
      </c>
      <c r="F528" t="inlineStr">
        <is>
          <t>KALMAR LÄN</t>
        </is>
      </c>
      <c r="G528" t="inlineStr">
        <is>
          <t>OSKARSHAMN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46268</v>
      </c>
      <c r="F529" t="inlineStr">
        <is>
          <t>KALMAR LÄN</t>
        </is>
      </c>
      <c r="G529" t="inlineStr">
        <is>
          <t>OSKARSHAMN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45553</v>
      </c>
      <c r="E530" s="1" t="n">
        <v>46268</v>
      </c>
      <c r="F530" t="inlineStr">
        <is>
          <t>KALMAR LÄN</t>
        </is>
      </c>
      <c r="G530" t="inlineStr">
        <is>
          <t>OSKARSHAMN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46268</v>
      </c>
      <c r="F531" t="inlineStr">
        <is>
          <t>KALMAR LÄN</t>
        </is>
      </c>
      <c r="G531" t="inlineStr">
        <is>
          <t>OSKARSHAMN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46268</v>
      </c>
      <c r="F532" t="inlineStr">
        <is>
          <t>KALMAR LÄN</t>
        </is>
      </c>
      <c r="G532" t="inlineStr">
        <is>
          <t>OSKARSHAMN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46265</v>
      </c>
      <c r="E533" s="1" t="n">
        <v>46268</v>
      </c>
      <c r="F533" t="inlineStr">
        <is>
          <t>KALMAR LÄN</t>
        </is>
      </c>
      <c r="G533" t="inlineStr">
        <is>
          <t>OSKARSHAMN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46265</v>
      </c>
      <c r="E534" s="1" t="n">
        <v>46268</v>
      </c>
      <c r="F534" t="inlineStr">
        <is>
          <t>KALMAR LÄN</t>
        </is>
      </c>
      <c r="G534" t="inlineStr">
        <is>
          <t>OSKARSHAMN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55569-2024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45621</v>
      </c>
      <c r="E535" s="1" t="n">
        <v>46268</v>
      </c>
      <c r="F535" t="inlineStr">
        <is>
          <t>KALMAR LÄN</t>
        </is>
      </c>
      <c r="G535" t="inlineStr">
        <is>
          <t>OSKARSHAMN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45643</v>
      </c>
      <c r="E536" s="1" t="n">
        <v>46268</v>
      </c>
      <c r="F536" t="inlineStr">
        <is>
          <t>KALMAR LÄN</t>
        </is>
      </c>
      <c r="G536" t="inlineStr">
        <is>
          <t>OSKARSHAMN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46268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45708</v>
      </c>
      <c r="E538" s="1" t="n">
        <v>46268</v>
      </c>
      <c r="F538" t="inlineStr">
        <is>
          <t>KALMAR LÄN</t>
        </is>
      </c>
      <c r="G538" t="inlineStr">
        <is>
          <t>OSKARSHAMN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46268</v>
      </c>
      <c r="F539" t="inlineStr">
        <is>
          <t>KALMAR LÄN</t>
        </is>
      </c>
      <c r="G539" t="inlineStr">
        <is>
          <t>OSKARSHAMN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59075-2021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44489</v>
      </c>
      <c r="E540" s="1" t="n">
        <v>46268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11933-2023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46268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46268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46268</v>
      </c>
      <c r="F543" t="inlineStr">
        <is>
          <t>KALMAR LÄN</t>
        </is>
      </c>
      <c r="G543" t="inlineStr">
        <is>
          <t>OSKARSHAMN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28116-2023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45099</v>
      </c>
      <c r="E544" s="1" t="n">
        <v>46268</v>
      </c>
      <c r="F544" t="inlineStr">
        <is>
          <t>KALMAR LÄN</t>
        </is>
      </c>
      <c r="G544" t="inlineStr">
        <is>
          <t>OSKARSHAMN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46268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46266</v>
      </c>
      <c r="E546" s="1" t="n">
        <v>46268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43931-2024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46268</v>
      </c>
      <c r="F547" t="inlineStr">
        <is>
          <t>KALMAR LÄN</t>
        </is>
      </c>
      <c r="G547" t="inlineStr">
        <is>
          <t>OSKARSHAMN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58406-2021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44488</v>
      </c>
      <c r="E548" s="1" t="n">
        <v>46268</v>
      </c>
      <c r="F548" t="inlineStr">
        <is>
          <t>KALMAR LÄN</t>
        </is>
      </c>
      <c r="G548" t="inlineStr">
        <is>
          <t>OSKARSHAMN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46268</v>
      </c>
      <c r="F549" t="inlineStr">
        <is>
          <t>KALMAR LÄN</t>
        </is>
      </c>
      <c r="G549" t="inlineStr">
        <is>
          <t>OSKARSHAMN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45113</v>
      </c>
      <c r="E550" s="1" t="n">
        <v>46268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45028</v>
      </c>
      <c r="E551" s="1" t="n">
        <v>46268</v>
      </c>
      <c r="F551" t="inlineStr">
        <is>
          <t>KALMAR LÄN</t>
        </is>
      </c>
      <c r="G551" t="inlineStr">
        <is>
          <t>OSKARSHAMN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14129-2025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45740</v>
      </c>
      <c r="E552" s="1" t="n">
        <v>46268</v>
      </c>
      <c r="F552" t="inlineStr">
        <is>
          <t>KALMAR LÄN</t>
        </is>
      </c>
      <c r="G552" t="inlineStr">
        <is>
          <t>OSKARSHAMN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46268</v>
      </c>
      <c r="F553" t="inlineStr">
        <is>
          <t>KALMAR LÄN</t>
        </is>
      </c>
      <c r="G553" t="inlineStr">
        <is>
          <t>OSKARSHAMN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45469</v>
      </c>
      <c r="E554" s="1" t="n">
        <v>46268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26549-2024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46268</v>
      </c>
      <c r="F555" t="inlineStr">
        <is>
          <t>KALMAR LÄN</t>
        </is>
      </c>
      <c r="G555" t="inlineStr">
        <is>
          <t>OSKARSHAMN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45728</v>
      </c>
      <c r="E556" s="1" t="n">
        <v>46268</v>
      </c>
      <c r="F556" t="inlineStr">
        <is>
          <t>KALMAR LÄN</t>
        </is>
      </c>
      <c r="G556" t="inlineStr">
        <is>
          <t>OSKARSHAMN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34533-2024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45525</v>
      </c>
      <c r="E557" s="1" t="n">
        <v>46268</v>
      </c>
      <c r="F557" t="inlineStr">
        <is>
          <t>KALMAR LÄN</t>
        </is>
      </c>
      <c r="G557" t="inlineStr">
        <is>
          <t>OSKARSHAMN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54522-2023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45233</v>
      </c>
      <c r="E558" s="1" t="n">
        <v>46268</v>
      </c>
      <c r="F558" t="inlineStr">
        <is>
          <t>KALMAR LÄN</t>
        </is>
      </c>
      <c r="G558" t="inlineStr">
        <is>
          <t>OSKARSHAMN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53564-2023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45224</v>
      </c>
      <c r="E559" s="1" t="n">
        <v>46268</v>
      </c>
      <c r="F559" t="inlineStr">
        <is>
          <t>KALMAR LÄN</t>
        </is>
      </c>
      <c r="G559" t="inlineStr">
        <is>
          <t>OSKARSHAMN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45474</v>
      </c>
      <c r="E560" s="1" t="n">
        <v>46268</v>
      </c>
      <c r="F560" t="inlineStr">
        <is>
          <t>KALMAR LÄN</t>
        </is>
      </c>
      <c r="G560" t="inlineStr">
        <is>
          <t>OSKARSHAMN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43934-2024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45572</v>
      </c>
      <c r="E561" s="1" t="n">
        <v>46268</v>
      </c>
      <c r="F561" t="inlineStr">
        <is>
          <t>KALMAR LÄN</t>
        </is>
      </c>
      <c r="G561" t="inlineStr">
        <is>
          <t>OSKARSHAMN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45708</v>
      </c>
      <c r="E562" s="1" t="n">
        <v>46268</v>
      </c>
      <c r="F562" t="inlineStr">
        <is>
          <t>KALMAR LÄN</t>
        </is>
      </c>
      <c r="G562" t="inlineStr">
        <is>
          <t>OSKARSHAMN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58375-2024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46268</v>
      </c>
      <c r="F563" t="inlineStr">
        <is>
          <t>KALMAR LÄN</t>
        </is>
      </c>
      <c r="G563" t="inlineStr">
        <is>
          <t>OSKARSHAMN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45754</v>
      </c>
      <c r="E564" s="1" t="n">
        <v>46268</v>
      </c>
      <c r="F564" t="inlineStr">
        <is>
          <t>KALMAR LÄN</t>
        </is>
      </c>
      <c r="G564" t="inlineStr">
        <is>
          <t>OSKARSHAMN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45796</v>
      </c>
      <c r="E565" s="1" t="n">
        <v>46268</v>
      </c>
      <c r="F565" t="inlineStr">
        <is>
          <t>KALMAR LÄN</t>
        </is>
      </c>
      <c r="G565" t="inlineStr">
        <is>
          <t>OSKARSHAMN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47956-2023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46268</v>
      </c>
      <c r="F566" t="inlineStr">
        <is>
          <t>KALMAR LÄN</t>
        </is>
      </c>
      <c r="G566" t="inlineStr">
        <is>
          <t>OSKARSHAMN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45526</v>
      </c>
      <c r="E567" s="1" t="n">
        <v>46268</v>
      </c>
      <c r="F567" t="inlineStr">
        <is>
          <t>KALMAR LÄN</t>
        </is>
      </c>
      <c r="G567" t="inlineStr">
        <is>
          <t>OSKARSHAMN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679-2024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46268</v>
      </c>
      <c r="F568" t="inlineStr">
        <is>
          <t>KALMAR LÄN</t>
        </is>
      </c>
      <c r="G568" t="inlineStr">
        <is>
          <t>OSKARSHAMN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4832-2024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45615</v>
      </c>
      <c r="E569" s="1" t="n">
        <v>46268</v>
      </c>
      <c r="F569" t="inlineStr">
        <is>
          <t>KALMAR LÄN</t>
        </is>
      </c>
      <c r="G569" t="inlineStr">
        <is>
          <t>OSKARSHAMN</t>
        </is>
      </c>
      <c r="H569" t="inlineStr">
        <is>
          <t>Kommuner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1910-2023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45078</v>
      </c>
      <c r="E570" s="1" t="n">
        <v>46268</v>
      </c>
      <c r="F570" t="inlineStr">
        <is>
          <t>KALMAR LÄN</t>
        </is>
      </c>
      <c r="G570" t="inlineStr">
        <is>
          <t>OSKARSHAMN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46268</v>
      </c>
      <c r="F571" t="inlineStr">
        <is>
          <t>KALMAR LÄN</t>
        </is>
      </c>
      <c r="G571" t="inlineStr">
        <is>
          <t>OSKARSHAMN</t>
        </is>
      </c>
      <c r="I571" t="n">
        <v>52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2334-2022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44685</v>
      </c>
      <c r="E572" s="1" t="n">
        <v>46268</v>
      </c>
      <c r="F572" t="inlineStr">
        <is>
          <t>KALMAR LÄN</t>
        </is>
      </c>
      <c r="G572" t="inlineStr">
        <is>
          <t>OSKARSHAMN</t>
        </is>
      </c>
      <c r="I572" t="n">
        <v>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6585-2021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44455</v>
      </c>
      <c r="E573" s="1" t="n">
        <v>46268</v>
      </c>
      <c r="F573" t="inlineStr">
        <is>
          <t>KALMAR LÄN</t>
        </is>
      </c>
      <c r="G573" t="inlineStr">
        <is>
          <t>OSKARSHAMN</t>
        </is>
      </c>
      <c r="H573" t="inlineStr">
        <is>
          <t>Sveaskog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4600-2023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45287</v>
      </c>
      <c r="E574" s="1" t="n">
        <v>46268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46268</v>
      </c>
      <c r="F575" t="inlineStr">
        <is>
          <t>KALMAR LÄN</t>
        </is>
      </c>
      <c r="G575" t="inlineStr">
        <is>
          <t>OSKARSHAMN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46268</v>
      </c>
      <c r="F576" t="inlineStr">
        <is>
          <t>KALMAR LÄN</t>
        </is>
      </c>
      <c r="G576" t="inlineStr">
        <is>
          <t>OSKARSHAMN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651-2022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44594</v>
      </c>
      <c r="E577" s="1" t="n">
        <v>46268</v>
      </c>
      <c r="F577" t="inlineStr">
        <is>
          <t>KALMAR LÄN</t>
        </is>
      </c>
      <c r="G577" t="inlineStr">
        <is>
          <t>OSKARSHAMN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3313-2023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45195</v>
      </c>
      <c r="E578" s="1" t="n">
        <v>46268</v>
      </c>
      <c r="F578" t="inlineStr">
        <is>
          <t>KALMAR LÄN</t>
        </is>
      </c>
      <c r="G578" t="inlineStr">
        <is>
          <t>OSKARSHAMN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821-2023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44988</v>
      </c>
      <c r="E579" s="1" t="n">
        <v>46268</v>
      </c>
      <c r="F579" t="inlineStr">
        <is>
          <t>KALMAR LÄN</t>
        </is>
      </c>
      <c r="G579" t="inlineStr">
        <is>
          <t>OSKARSHAMN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2566-2024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45476</v>
      </c>
      <c r="E580" s="1" t="n">
        <v>46268</v>
      </c>
      <c r="F580" t="inlineStr">
        <is>
          <t>KALMAR LÄN</t>
        </is>
      </c>
      <c r="G580" t="inlineStr">
        <is>
          <t>OSKARSHAMN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677-2024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46268</v>
      </c>
      <c r="F581" t="inlineStr">
        <is>
          <t>KALMAR LÄN</t>
        </is>
      </c>
      <c r="G581" t="inlineStr">
        <is>
          <t>OSKARSHAMN</t>
        </is>
      </c>
      <c r="I581" t="n">
        <v>37.5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46268</v>
      </c>
      <c r="F582" t="inlineStr">
        <is>
          <t>KALMAR LÄN</t>
        </is>
      </c>
      <c r="G582" t="inlineStr">
        <is>
          <t>OSKARSHAMN</t>
        </is>
      </c>
      <c r="I582" t="n">
        <v>47.2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2471-2024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45470</v>
      </c>
      <c r="E583" s="1" t="n">
        <v>46268</v>
      </c>
      <c r="F583" t="inlineStr">
        <is>
          <t>KALMAR LÄN</t>
        </is>
      </c>
      <c r="G583" t="inlineStr">
        <is>
          <t>OSKARSHAMN</t>
        </is>
      </c>
      <c r="I583" t="n">
        <v>34.4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712-2023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44979</v>
      </c>
      <c r="E584" s="1" t="n">
        <v>46268</v>
      </c>
      <c r="F584" t="inlineStr">
        <is>
          <t>KALMAR LÄN</t>
        </is>
      </c>
      <c r="G584" t="inlineStr">
        <is>
          <t>OSKARSHAMN</t>
        </is>
      </c>
      <c r="I584" t="n">
        <v>24.6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2026-2022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44665</v>
      </c>
      <c r="E585" s="1" t="n">
        <v>46268</v>
      </c>
      <c r="F585" t="inlineStr">
        <is>
          <t>KALMAR LÄN</t>
        </is>
      </c>
      <c r="G585" t="inlineStr">
        <is>
          <t>OSKARSHAMN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1437-2022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44634</v>
      </c>
      <c r="E586" s="1" t="n">
        <v>46268</v>
      </c>
      <c r="F586" t="inlineStr">
        <is>
          <t>KALMAR LÄN</t>
        </is>
      </c>
      <c r="G586" t="inlineStr">
        <is>
          <t>OSKARSHAMN</t>
        </is>
      </c>
      <c r="I586" t="n">
        <v>24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2367-2025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45889</v>
      </c>
      <c r="E587" s="1" t="n">
        <v>46268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2970-2025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45954</v>
      </c>
      <c r="E588" s="1" t="n">
        <v>46268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3540-2025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46009</v>
      </c>
      <c r="E589" s="1" t="n">
        <v>46268</v>
      </c>
      <c r="F589" t="inlineStr">
        <is>
          <t>KALMAR LÄN</t>
        </is>
      </c>
      <c r="G589" t="inlineStr">
        <is>
          <t>OSKARSHAMN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2386-2024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45468</v>
      </c>
      <c r="E590" s="1" t="n">
        <v>46268</v>
      </c>
      <c r="F590" t="inlineStr">
        <is>
          <t>KALMAR LÄN</t>
        </is>
      </c>
      <c r="G590" t="inlineStr">
        <is>
          <t>OSKARSHAMN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1820-2026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46197</v>
      </c>
      <c r="E591" s="1" t="n">
        <v>46268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2026-09-03T02:06:46Z</dcterms:created>
  <dcterms:modified xmlns:dcterms="http://purl.org/dc/terms/" xmlns:xsi="http://www.w3.org/2001/XMLSchema-instance" xsi:type="dcterms:W3CDTF">2026-09-03T02:06:47Z</dcterms:modified>
</cp:coreProperties>
</file>