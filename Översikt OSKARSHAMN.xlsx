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46198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46198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46198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46198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46198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46198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46198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46198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1650-2022</t>
        </is>
      </c>
      <c r="B14" s="1" t="n">
        <v>44574</v>
      </c>
      <c r="C14" s="1" t="n">
        <v>46198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4</v>
      </c>
      <c r="H14" t="n">
        <v>6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Talltita
Grönpyrola
Blåsippa
Spillkråka
Tjäder
Kungsfågel</t>
        </is>
      </c>
      <c r="S14">
        <f>HYPERLINK("https://klasma.github.io/Logging_0882/artfynd/A 1650-2022 artfynd.xlsx", "A 1650-2022")</f>
        <v/>
      </c>
      <c r="T14">
        <f>HYPERLINK("https://klasma.github.io/Logging_0882/kartor/A 1650-2022 karta.png", "A 1650-2022")</f>
        <v/>
      </c>
      <c r="U14">
        <f>HYPERLINK("https://klasma.github.io/Logging_0882/knärot/A 1650-2022 karta knärot.png", "A 1650-2022")</f>
        <v/>
      </c>
      <c r="V14">
        <f>HYPERLINK("https://klasma.github.io/Logging_0882/klagomål/A 1650-2022 FSC-klagomål.docx", "A 1650-2022")</f>
        <v/>
      </c>
      <c r="W14">
        <f>HYPERLINK("https://klasma.github.io/Logging_0882/klagomålsmail/A 1650-2022 FSC-klagomål mail.docx", "A 1650-2022")</f>
        <v/>
      </c>
      <c r="X14">
        <f>HYPERLINK("https://klasma.github.io/Logging_0882/tillsyn/A 1650-2022 tillsynsbegäran.docx", "A 1650-2022")</f>
        <v/>
      </c>
      <c r="Y14">
        <f>HYPERLINK("https://klasma.github.io/Logging_0882/tillsynsmail/A 1650-2022 tillsynsbegäran mail.docx", "A 1650-2022")</f>
        <v/>
      </c>
      <c r="Z14">
        <f>HYPERLINK("https://klasma.github.io/Logging_0882/fåglar/A 1650-2022 prioriterade fågelarter.docx", "A 1650-2022")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46198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22297-2024</t>
        </is>
      </c>
      <c r="B16" s="1" t="n">
        <v>45446</v>
      </c>
      <c r="C16" s="1" t="n">
        <v>46198</v>
      </c>
      <c r="D16" t="inlineStr">
        <is>
          <t>KALMAR LÄN</t>
        </is>
      </c>
      <c r="E16" t="inlineStr">
        <is>
          <t>OSKARSHAMN</t>
        </is>
      </c>
      <c r="G16" t="n">
        <v>3.4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Ekticka
Rosa skärelav
Blomskägglav
Guldlockmossa
Platt fjädermossa
Kopparödla</t>
        </is>
      </c>
      <c r="S16">
        <f>HYPERLINK("https://klasma.github.io/Logging_0882/artfynd/A 22297-2024 artfynd.xlsx", "A 22297-2024")</f>
        <v/>
      </c>
      <c r="T16">
        <f>HYPERLINK("https://klasma.github.io/Logging_0882/kartor/A 22297-2024 karta.png", "A 22297-2024")</f>
        <v/>
      </c>
      <c r="V16">
        <f>HYPERLINK("https://klasma.github.io/Logging_0882/klagomål/A 22297-2024 FSC-klagomål.docx", "A 22297-2024")</f>
        <v/>
      </c>
      <c r="W16">
        <f>HYPERLINK("https://klasma.github.io/Logging_0882/klagomålsmail/A 22297-2024 FSC-klagomål mail.docx", "A 22297-2024")</f>
        <v/>
      </c>
      <c r="X16">
        <f>HYPERLINK("https://klasma.github.io/Logging_0882/tillsyn/A 22297-2024 tillsynsbegäran.docx", "A 22297-2024")</f>
        <v/>
      </c>
      <c r="Y16">
        <f>HYPERLINK("https://klasma.github.io/Logging_0882/tillsynsmail/A 22297-2024 tillsynsbegäran mail.docx", "A 22297-2024")</f>
        <v/>
      </c>
    </row>
    <row r="17" ht="15" customHeight="1">
      <c r="A17" t="inlineStr">
        <is>
          <t>A 54385-2025</t>
        </is>
      </c>
      <c r="B17" s="1" t="n">
        <v>45965</v>
      </c>
      <c r="C17" s="1" t="n">
        <v>46198</v>
      </c>
      <c r="D17" t="inlineStr">
        <is>
          <t>KALMAR LÄN</t>
        </is>
      </c>
      <c r="E17" t="inlineStr">
        <is>
          <t>OSKARSHAMN</t>
        </is>
      </c>
      <c r="G17" t="n">
        <v>2.6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54385-2025 artfynd.xlsx", "A 54385-2025")</f>
        <v/>
      </c>
      <c r="T17">
        <f>HYPERLINK("https://klasma.github.io/Logging_0882/kartor/A 54385-2025 karta.png", "A 54385-2025")</f>
        <v/>
      </c>
      <c r="V17">
        <f>HYPERLINK("https://klasma.github.io/Logging_0882/klagomål/A 54385-2025 FSC-klagomål.docx", "A 54385-2025")</f>
        <v/>
      </c>
      <c r="W17">
        <f>HYPERLINK("https://klasma.github.io/Logging_0882/klagomålsmail/A 54385-2025 FSC-klagomål mail.docx", "A 54385-2025")</f>
        <v/>
      </c>
      <c r="X17">
        <f>HYPERLINK("https://klasma.github.io/Logging_0882/tillsyn/A 54385-2025 tillsynsbegäran.docx", "A 54385-2025")</f>
        <v/>
      </c>
      <c r="Y17">
        <f>HYPERLINK("https://klasma.github.io/Logging_0882/tillsynsmail/A 54385-2025 tillsynsbegäran mail.docx", "A 54385-2025")</f>
        <v/>
      </c>
    </row>
    <row r="18" ht="15" customHeight="1">
      <c r="A18" t="inlineStr">
        <is>
          <t>A 21628-2026</t>
        </is>
      </c>
      <c r="B18" s="1" t="n">
        <v>46149</v>
      </c>
      <c r="C18" s="1" t="n">
        <v>46198</v>
      </c>
      <c r="D18" t="inlineStr">
        <is>
          <t>KALMAR LÄN</t>
        </is>
      </c>
      <c r="E18" t="inlineStr">
        <is>
          <t>OSKARSHAMN</t>
        </is>
      </c>
      <c r="G18" t="n">
        <v>1.4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Jungfrulin
Slåtterfibbla
Solvända
Åkerkulla
Fläcknycklar
Gullviva</t>
        </is>
      </c>
      <c r="S18">
        <f>HYPERLINK("https://klasma.github.io/Logging_0882/artfynd/A 21628-2026 artfynd.xlsx", "A 21628-2026")</f>
        <v/>
      </c>
      <c r="T18">
        <f>HYPERLINK("https://klasma.github.io/Logging_0882/kartor/A 21628-2026 karta.png", "A 21628-2026")</f>
        <v/>
      </c>
      <c r="V18">
        <f>HYPERLINK("https://klasma.github.io/Logging_0882/klagomål/A 21628-2026 FSC-klagomål.docx", "A 21628-2026")</f>
        <v/>
      </c>
      <c r="W18">
        <f>HYPERLINK("https://klasma.github.io/Logging_0882/klagomålsmail/A 21628-2026 FSC-klagomål mail.docx", "A 21628-2026")</f>
        <v/>
      </c>
      <c r="X18">
        <f>HYPERLINK("https://klasma.github.io/Logging_0882/tillsyn/A 21628-2026 tillsynsbegäran.docx", "A 21628-2026")</f>
        <v/>
      </c>
      <c r="Y18">
        <f>HYPERLINK("https://klasma.github.io/Logging_0882/tillsynsmail/A 21628-2026 tillsynsbegäran mail.docx", "A 21628-2026")</f>
        <v/>
      </c>
    </row>
    <row r="19" ht="15" customHeight="1">
      <c r="A19" t="inlineStr">
        <is>
          <t>A 55989-2023</t>
        </is>
      </c>
      <c r="B19" s="1" t="n">
        <v>45240</v>
      </c>
      <c r="C19" s="1" t="n">
        <v>46198</v>
      </c>
      <c r="D19" t="inlineStr">
        <is>
          <t>KALMAR LÄN</t>
        </is>
      </c>
      <c r="E19" t="inlineStr">
        <is>
          <t>OSKARSHAMN</t>
        </is>
      </c>
      <c r="G19" t="n">
        <v>3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Större brunfladdermus
Vattenfladdermus</t>
        </is>
      </c>
      <c r="S19">
        <f>HYPERLINK("https://klasma.github.io/Logging_0882/artfynd/A 55989-2023 artfynd.xlsx", "A 55989-2023")</f>
        <v/>
      </c>
      <c r="T19">
        <f>HYPERLINK("https://klasma.github.io/Logging_0882/kartor/A 55989-2023 karta.png", "A 55989-2023")</f>
        <v/>
      </c>
      <c r="V19">
        <f>HYPERLINK("https://klasma.github.io/Logging_0882/klagomål/A 55989-2023 FSC-klagomål.docx", "A 55989-2023")</f>
        <v/>
      </c>
      <c r="W19">
        <f>HYPERLINK("https://klasma.github.io/Logging_0882/klagomålsmail/A 55989-2023 FSC-klagomål mail.docx", "A 55989-2023")</f>
        <v/>
      </c>
      <c r="X19">
        <f>HYPERLINK("https://klasma.github.io/Logging_0882/tillsyn/A 55989-2023 tillsynsbegäran.docx", "A 55989-2023")</f>
        <v/>
      </c>
      <c r="Y19">
        <f>HYPERLINK("https://klasma.github.io/Logging_0882/tillsynsmail/A 55989-2023 tillsynsbegäran mail.docx", "A 55989-2023")</f>
        <v/>
      </c>
    </row>
    <row r="20" ht="15" customHeight="1">
      <c r="A20" t="inlineStr">
        <is>
          <t>A 26478-2026</t>
        </is>
      </c>
      <c r="B20" s="1" t="n">
        <v>46183</v>
      </c>
      <c r="C20" s="1" t="n">
        <v>46198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0.4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Kandelabersvamp
Vedtrappmossa
Vårärt
Svart trolldruva
Blåsippa</t>
        </is>
      </c>
      <c r="S20">
        <f>HYPERLINK("https://klasma.github.io/Logging_0882/artfynd/A 26478-2026 artfynd.xlsx", "A 26478-2026")</f>
        <v/>
      </c>
      <c r="T20">
        <f>HYPERLINK("https://klasma.github.io/Logging_0882/kartor/A 26478-2026 karta.png", "A 26478-2026")</f>
        <v/>
      </c>
      <c r="V20">
        <f>HYPERLINK("https://klasma.github.io/Logging_0882/klagomål/A 26478-2026 FSC-klagomål.docx", "A 26478-2026")</f>
        <v/>
      </c>
      <c r="W20">
        <f>HYPERLINK("https://klasma.github.io/Logging_0882/klagomålsmail/A 26478-2026 FSC-klagomål mail.docx", "A 26478-2026")</f>
        <v/>
      </c>
      <c r="X20">
        <f>HYPERLINK("https://klasma.github.io/Logging_0882/tillsyn/A 26478-2026 tillsynsbegäran.docx", "A 26478-2026")</f>
        <v/>
      </c>
      <c r="Y20">
        <f>HYPERLINK("https://klasma.github.io/Logging_0882/tillsynsmail/A 26478-2026 tillsynsbegäran mail.docx", "A 26478-2026")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46198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26187-2024</t>
        </is>
      </c>
      <c r="B22" s="1" t="n">
        <v>45468</v>
      </c>
      <c r="C22" s="1" t="n">
        <v>46198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1.8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Ekticka
Vippärt
Murgröna
Blåsippa
Spillkråka</t>
        </is>
      </c>
      <c r="S22">
        <f>HYPERLINK("https://klasma.github.io/Logging_0882/artfynd/A 26187-2024 artfynd.xlsx", "A 26187-2024")</f>
        <v/>
      </c>
      <c r="T22">
        <f>HYPERLINK("https://klasma.github.io/Logging_0882/kartor/A 26187-2024 karta.png", "A 26187-2024")</f>
        <v/>
      </c>
      <c r="V22">
        <f>HYPERLINK("https://klasma.github.io/Logging_0882/klagomål/A 26187-2024 FSC-klagomål.docx", "A 26187-2024")</f>
        <v/>
      </c>
      <c r="W22">
        <f>HYPERLINK("https://klasma.github.io/Logging_0882/klagomålsmail/A 26187-2024 FSC-klagomål mail.docx", "A 26187-2024")</f>
        <v/>
      </c>
      <c r="X22">
        <f>HYPERLINK("https://klasma.github.io/Logging_0882/tillsyn/A 26187-2024 tillsynsbegäran.docx", "A 26187-2024")</f>
        <v/>
      </c>
      <c r="Y22">
        <f>HYPERLINK("https://klasma.github.io/Logging_0882/tillsynsmail/A 26187-2024 tillsynsbegäran mail.docx", "A 26187-2024")</f>
        <v/>
      </c>
      <c r="Z22">
        <f>HYPERLINK("https://klasma.github.io/Logging_0882/fåglar/A 26187-2024 prioriterade fågelarter.docx", "A 26187-2024")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46198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46198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46198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46198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46198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46198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46198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46198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46198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635-2022</t>
        </is>
      </c>
      <c r="B32" s="1" t="n">
        <v>44568</v>
      </c>
      <c r="C32" s="1" t="n">
        <v>46198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Orange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46198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46198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46198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46198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30933-2023</t>
        </is>
      </c>
      <c r="B37" s="1" t="n">
        <v>45113</v>
      </c>
      <c r="C37" s="1" t="n">
        <v>46198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Mindre hackspett
Spillkråka</t>
        </is>
      </c>
      <c r="S37">
        <f>HYPERLINK("https://klasma.github.io/Logging_0882/artfynd/A 30933-2023 artfynd.xlsx", "A 30933-2023")</f>
        <v/>
      </c>
      <c r="T37">
        <f>HYPERLINK("https://klasma.github.io/Logging_0882/kartor/A 30933-2023 karta.png", "A 30933-2023")</f>
        <v/>
      </c>
      <c r="V37">
        <f>HYPERLINK("https://klasma.github.io/Logging_0882/klagomål/A 30933-2023 FSC-klagomål.docx", "A 30933-2023")</f>
        <v/>
      </c>
      <c r="W37">
        <f>HYPERLINK("https://klasma.github.io/Logging_0882/klagomålsmail/A 30933-2023 FSC-klagomål mail.docx", "A 30933-2023")</f>
        <v/>
      </c>
      <c r="X37">
        <f>HYPERLINK("https://klasma.github.io/Logging_0882/tillsyn/A 30933-2023 tillsynsbegäran.docx", "A 30933-2023")</f>
        <v/>
      </c>
      <c r="Y37">
        <f>HYPERLINK("https://klasma.github.io/Logging_0882/tillsynsmail/A 30933-2023 tillsynsbegäran mail.docx", "A 30933-2023")</f>
        <v/>
      </c>
      <c r="Z37">
        <f>HYPERLINK("https://klasma.github.io/Logging_0882/fåglar/A 30933-2023 prioriterade fågelarter.docx", "A 30933-2023")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46198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46198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46198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46198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46198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46198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46276-2024</t>
        </is>
      </c>
      <c r="B44" s="1" t="n">
        <v>45581</v>
      </c>
      <c r="C44" s="1" t="n">
        <v>46198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46198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46198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16792-2025</t>
        </is>
      </c>
      <c r="B47" s="1" t="n">
        <v>45754</v>
      </c>
      <c r="C47" s="1" t="n">
        <v>46198</v>
      </c>
      <c r="D47" t="inlineStr">
        <is>
          <t>KALMAR LÄN</t>
        </is>
      </c>
      <c r="E47" t="inlineStr">
        <is>
          <t>OSKARSHAMN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HYPERLINK("https://klasma.github.io/Logging_0882/artfynd/A 16792-2025 artfynd.xlsx", "A 16792-2025")</f>
        <v/>
      </c>
      <c r="T47">
        <f>HYPERLINK("https://klasma.github.io/Logging_0882/kartor/A 16792-2025 karta.png", "A 16792-2025")</f>
        <v/>
      </c>
      <c r="V47">
        <f>HYPERLINK("https://klasma.github.io/Logging_0882/klagomål/A 16792-2025 FSC-klagomål.docx", "A 16792-2025")</f>
        <v/>
      </c>
      <c r="W47">
        <f>HYPERLINK("https://klasma.github.io/Logging_0882/klagomålsmail/A 16792-2025 FSC-klagomål mail.docx", "A 16792-2025")</f>
        <v/>
      </c>
      <c r="X47">
        <f>HYPERLINK("https://klasma.github.io/Logging_0882/tillsyn/A 16792-2025 tillsynsbegäran.docx", "A 16792-2025")</f>
        <v/>
      </c>
      <c r="Y47">
        <f>HYPERLINK("https://klasma.github.io/Logging_0882/tillsynsmail/A 16792-2025 tillsynsbegäran mail.docx", "A 16792-2025")</f>
        <v/>
      </c>
    </row>
    <row r="48" ht="15" customHeight="1">
      <c r="A48" t="inlineStr">
        <is>
          <t>A 24769-2025</t>
        </is>
      </c>
      <c r="B48" s="1" t="n">
        <v>45799</v>
      </c>
      <c r="C48" s="1" t="n">
        <v>46198</v>
      </c>
      <c r="D48" t="inlineStr">
        <is>
          <t>KALMAR LÄN</t>
        </is>
      </c>
      <c r="E48" t="inlineStr">
        <is>
          <t>OSKARSHAMN</t>
        </is>
      </c>
      <c r="G48" t="n">
        <v>1.7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24769-2025 artfynd.xlsx", "A 24769-2025")</f>
        <v/>
      </c>
      <c r="T48">
        <f>HYPERLINK("https://klasma.github.io/Logging_0882/kartor/A 24769-2025 karta.png", "A 24769-2025")</f>
        <v/>
      </c>
      <c r="V48">
        <f>HYPERLINK("https://klasma.github.io/Logging_0882/klagomål/A 24769-2025 FSC-klagomål.docx", "A 24769-2025")</f>
        <v/>
      </c>
      <c r="W48">
        <f>HYPERLINK("https://klasma.github.io/Logging_0882/klagomålsmail/A 24769-2025 FSC-klagomål mail.docx", "A 24769-2025")</f>
        <v/>
      </c>
      <c r="X48">
        <f>HYPERLINK("https://klasma.github.io/Logging_0882/tillsyn/A 24769-2025 tillsynsbegäran.docx", "A 24769-2025")</f>
        <v/>
      </c>
      <c r="Y48">
        <f>HYPERLINK("https://klasma.github.io/Logging_0882/tillsynsmail/A 24769-2025 tillsynsbegäran mail.docx", "A 24769-2025")</f>
        <v/>
      </c>
      <c r="Z48">
        <f>HYPERLINK("https://klasma.github.io/Logging_0882/fåglar/A 24769-2025 prioriterade fågelarter.docx", "A 24769-2025")</f>
        <v/>
      </c>
    </row>
    <row r="49" ht="15" customHeight="1">
      <c r="A49" t="inlineStr">
        <is>
          <t>A 42759-2025</t>
        </is>
      </c>
      <c r="B49" s="1" t="n">
        <v>45908</v>
      </c>
      <c r="C49" s="1" t="n">
        <v>46198</v>
      </c>
      <c r="D49" t="inlineStr">
        <is>
          <t>KALMAR LÄN</t>
        </is>
      </c>
      <c r="E49" t="inlineStr">
        <is>
          <t>OSKARSHAMN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HYPERLINK("https://klasma.github.io/Logging_0882/artfynd/A 42759-2025 artfynd.xlsx", "A 42759-2025")</f>
        <v/>
      </c>
      <c r="T49">
        <f>HYPERLINK("https://klasma.github.io/Logging_0882/kartor/A 42759-2025 karta.png", "A 42759-2025")</f>
        <v/>
      </c>
      <c r="V49">
        <f>HYPERLINK("https://klasma.github.io/Logging_0882/klagomål/A 42759-2025 FSC-klagomål.docx", "A 42759-2025")</f>
        <v/>
      </c>
      <c r="W49">
        <f>HYPERLINK("https://klasma.github.io/Logging_0882/klagomålsmail/A 42759-2025 FSC-klagomål mail.docx", "A 42759-2025")</f>
        <v/>
      </c>
      <c r="X49">
        <f>HYPERLINK("https://klasma.github.io/Logging_0882/tillsyn/A 42759-2025 tillsynsbegäran.docx", "A 42759-2025")</f>
        <v/>
      </c>
      <c r="Y49">
        <f>HYPERLINK("https://klasma.github.io/Logging_0882/tillsynsmail/A 42759-2025 tillsynsbegäran mail.docx", "A 42759-2025")</f>
        <v/>
      </c>
    </row>
    <row r="50" ht="15" customHeight="1">
      <c r="A50" t="inlineStr">
        <is>
          <t>A 27854-2023</t>
        </is>
      </c>
      <c r="B50" s="1" t="n">
        <v>45098</v>
      </c>
      <c r="C50" s="1" t="n">
        <v>46198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20166-2026</t>
        </is>
      </c>
      <c r="B51" s="1" t="n">
        <v>46139</v>
      </c>
      <c r="C51" s="1" t="n">
        <v>46198</v>
      </c>
      <c r="D51" t="inlineStr">
        <is>
          <t>KALMAR LÄN</t>
        </is>
      </c>
      <c r="E51" t="inlineStr">
        <is>
          <t>OSKARSHAMN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20166-2026 artfynd.xlsx", "A 20166-2026")</f>
        <v/>
      </c>
      <c r="T51">
        <f>HYPERLINK("https://klasma.github.io/Logging_0882/kartor/A 20166-2026 karta.png", "A 20166-2026")</f>
        <v/>
      </c>
      <c r="V51">
        <f>HYPERLINK("https://klasma.github.io/Logging_0882/klagomål/A 20166-2026 FSC-klagomål.docx", "A 20166-2026")</f>
        <v/>
      </c>
      <c r="W51">
        <f>HYPERLINK("https://klasma.github.io/Logging_0882/klagomålsmail/A 20166-2026 FSC-klagomål mail.docx", "A 20166-2026")</f>
        <v/>
      </c>
      <c r="X51">
        <f>HYPERLINK("https://klasma.github.io/Logging_0882/tillsyn/A 20166-2026 tillsynsbegäran.docx", "A 20166-2026")</f>
        <v/>
      </c>
      <c r="Y51">
        <f>HYPERLINK("https://klasma.github.io/Logging_0882/tillsynsmail/A 20166-2026 tillsynsbegäran mail.docx", "A 20166-2026")</f>
        <v/>
      </c>
    </row>
    <row r="52" ht="15" customHeight="1">
      <c r="A52" t="inlineStr">
        <is>
          <t>A 26730-2026</t>
        </is>
      </c>
      <c r="B52" s="1" t="n">
        <v>46184</v>
      </c>
      <c r="C52" s="1" t="n">
        <v>46198</v>
      </c>
      <c r="D52" t="inlineStr">
        <is>
          <t>KALMAR LÄN</t>
        </is>
      </c>
      <c r="E52" t="inlineStr">
        <is>
          <t>OSKARSHAMN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HYPERLINK("https://klasma.github.io/Logging_0882/artfynd/A 26730-2026 artfynd.xlsx", "A 26730-2026")</f>
        <v/>
      </c>
      <c r="T52">
        <f>HYPERLINK("https://klasma.github.io/Logging_0882/kartor/A 26730-2026 karta.png", "A 26730-2026")</f>
        <v/>
      </c>
      <c r="V52">
        <f>HYPERLINK("https://klasma.github.io/Logging_0882/klagomål/A 26730-2026 FSC-klagomål.docx", "A 26730-2026")</f>
        <v/>
      </c>
      <c r="W52">
        <f>HYPERLINK("https://klasma.github.io/Logging_0882/klagomålsmail/A 26730-2026 FSC-klagomål mail.docx", "A 26730-2026")</f>
        <v/>
      </c>
      <c r="X52">
        <f>HYPERLINK("https://klasma.github.io/Logging_0882/tillsyn/A 26730-2026 tillsynsbegäran.docx", "A 26730-2026")</f>
        <v/>
      </c>
      <c r="Y52">
        <f>HYPERLINK("https://klasma.github.io/Logging_0882/tillsynsmail/A 26730-2026 tillsynsbegäran mail.docx", "A 26730-2026")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46198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13715-2026</t>
        </is>
      </c>
      <c r="B54" s="1" t="n">
        <v>46097</v>
      </c>
      <c r="C54" s="1" t="n">
        <v>46198</v>
      </c>
      <c r="D54" t="inlineStr">
        <is>
          <t>KALMAR LÄN</t>
        </is>
      </c>
      <c r="E54" t="inlineStr">
        <is>
          <t>OSKARSHAMN</t>
        </is>
      </c>
      <c r="G54" t="n">
        <v>9.800000000000001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HYPERLINK("https://klasma.github.io/Logging_0882/artfynd/A 13715-2026 artfynd.xlsx", "A 13715-2026")</f>
        <v/>
      </c>
      <c r="T54">
        <f>HYPERLINK("https://klasma.github.io/Logging_0882/kartor/A 13715-2026 karta.png", "A 13715-2026")</f>
        <v/>
      </c>
      <c r="V54">
        <f>HYPERLINK("https://klasma.github.io/Logging_0882/klagomål/A 13715-2026 FSC-klagomål.docx", "A 13715-2026")</f>
        <v/>
      </c>
      <c r="W54">
        <f>HYPERLINK("https://klasma.github.io/Logging_0882/klagomålsmail/A 13715-2026 FSC-klagomål mail.docx", "A 13715-2026")</f>
        <v/>
      </c>
      <c r="X54">
        <f>HYPERLINK("https://klasma.github.io/Logging_0882/tillsyn/A 13715-2026 tillsynsbegäran.docx", "A 13715-2026")</f>
        <v/>
      </c>
      <c r="Y54">
        <f>HYPERLINK("https://klasma.github.io/Logging_0882/tillsynsmail/A 13715-2026 tillsynsbegäran mail.docx", "A 13715-2026")</f>
        <v/>
      </c>
    </row>
    <row r="55" ht="15" customHeight="1">
      <c r="A55" t="inlineStr">
        <is>
          <t>A 6818-2025</t>
        </is>
      </c>
      <c r="B55" s="1" t="n">
        <v>45700</v>
      </c>
      <c r="C55" s="1" t="n">
        <v>46198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39629-2022</t>
        </is>
      </c>
      <c r="B56" s="1" t="n">
        <v>44818</v>
      </c>
      <c r="C56" s="1" t="n">
        <v>46198</v>
      </c>
      <c r="D56" t="inlineStr">
        <is>
          <t>KALMAR LÄN</t>
        </is>
      </c>
      <c r="E56" t="inlineStr">
        <is>
          <t>OSKARSHAMN</t>
        </is>
      </c>
      <c r="G56" t="n">
        <v>14.8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Åttafläckig praktbagge</t>
        </is>
      </c>
      <c r="S56">
        <f>HYPERLINK("https://klasma.github.io/Logging_0882/artfynd/A 39629-2022 artfynd.xlsx", "A 39629-2022")</f>
        <v/>
      </c>
      <c r="T56">
        <f>HYPERLINK("https://klasma.github.io/Logging_0882/kartor/A 39629-2022 karta.png", "A 39629-2022")</f>
        <v/>
      </c>
      <c r="V56">
        <f>HYPERLINK("https://klasma.github.io/Logging_0882/klagomål/A 39629-2022 FSC-klagomål.docx", "A 39629-2022")</f>
        <v/>
      </c>
      <c r="W56">
        <f>HYPERLINK("https://klasma.github.io/Logging_0882/klagomålsmail/A 39629-2022 FSC-klagomål mail.docx", "A 39629-2022")</f>
        <v/>
      </c>
      <c r="X56">
        <f>HYPERLINK("https://klasma.github.io/Logging_0882/tillsyn/A 39629-2022 tillsynsbegäran.docx", "A 39629-2022")</f>
        <v/>
      </c>
      <c r="Y56">
        <f>HYPERLINK("https://klasma.github.io/Logging_0882/tillsynsmail/A 39629-2022 tillsynsbegäran mail.docx", "A 39629-2022")</f>
        <v/>
      </c>
    </row>
    <row r="57" ht="15" customHeight="1">
      <c r="A57" t="inlineStr">
        <is>
          <t>A 26208-2024</t>
        </is>
      </c>
      <c r="B57" s="1" t="n">
        <v>45468</v>
      </c>
      <c r="C57" s="1" t="n">
        <v>46198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Jungfrulin</t>
        </is>
      </c>
      <c r="S57">
        <f>HYPERLINK("https://klasma.github.io/Logging_0882/artfynd/A 26208-2024 artfynd.xlsx", "A 26208-2024")</f>
        <v/>
      </c>
      <c r="T57">
        <f>HYPERLINK("https://klasma.github.io/Logging_0882/kartor/A 26208-2024 karta.png", "A 26208-2024")</f>
        <v/>
      </c>
      <c r="V57">
        <f>HYPERLINK("https://klasma.github.io/Logging_0882/klagomål/A 26208-2024 FSC-klagomål.docx", "A 26208-2024")</f>
        <v/>
      </c>
      <c r="W57">
        <f>HYPERLINK("https://klasma.github.io/Logging_0882/klagomålsmail/A 26208-2024 FSC-klagomål mail.docx", "A 26208-2024")</f>
        <v/>
      </c>
      <c r="X57">
        <f>HYPERLINK("https://klasma.github.io/Logging_0882/tillsyn/A 26208-2024 tillsynsbegäran.docx", "A 26208-2024")</f>
        <v/>
      </c>
      <c r="Y57">
        <f>HYPERLINK("https://klasma.github.io/Logging_0882/tillsynsmail/A 26208-2024 tillsynsbegäran mail.docx", "A 26208-2024")</f>
        <v/>
      </c>
    </row>
    <row r="58" ht="15" customHeight="1">
      <c r="A58" t="inlineStr">
        <is>
          <t>A 37327-2024</t>
        </is>
      </c>
      <c r="B58" s="1" t="n">
        <v>45540</v>
      </c>
      <c r="C58" s="1" t="n">
        <v>46198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46198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26988-2025</t>
        </is>
      </c>
      <c r="B60" s="1" t="n">
        <v>45811</v>
      </c>
      <c r="C60" s="1" t="n">
        <v>46198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HYPERLINK("https://klasma.github.io/Logging_0882/artfynd/A 26988-2025 artfynd.xlsx", "A 26988-2025")</f>
        <v/>
      </c>
      <c r="T60">
        <f>HYPERLINK("https://klasma.github.io/Logging_0882/kartor/A 26988-2025 karta.png", "A 26988-2025")</f>
        <v/>
      </c>
      <c r="V60">
        <f>HYPERLINK("https://klasma.github.io/Logging_0882/klagomål/A 26988-2025 FSC-klagomål.docx", "A 26988-2025")</f>
        <v/>
      </c>
      <c r="W60">
        <f>HYPERLINK("https://klasma.github.io/Logging_0882/klagomålsmail/A 26988-2025 FSC-klagomål mail.docx", "A 26988-2025")</f>
        <v/>
      </c>
      <c r="X60">
        <f>HYPERLINK("https://klasma.github.io/Logging_0882/tillsyn/A 26988-2025 tillsynsbegäran.docx", "A 26988-2025")</f>
        <v/>
      </c>
      <c r="Y60">
        <f>HYPERLINK("https://klasma.github.io/Logging_0882/tillsynsmail/A 26988-2025 tillsynsbegäran mail.docx", "A 26988-2025")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46198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46198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46198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46198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32034-2022</t>
        </is>
      </c>
      <c r="B65" s="1" t="n">
        <v>44778</v>
      </c>
      <c r="C65" s="1" t="n">
        <v>46198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46198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46198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46198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46198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46198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8667-2022</t>
        </is>
      </c>
      <c r="B71" s="1" t="n">
        <v>44613</v>
      </c>
      <c r="C71" s="1" t="n">
        <v>46198</v>
      </c>
      <c r="D71" t="inlineStr">
        <is>
          <t>KALMAR LÄN</t>
        </is>
      </c>
      <c r="E71" t="inlineStr">
        <is>
          <t>OSKARSHAMN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50533-2022</t>
        </is>
      </c>
      <c r="B72" s="1" t="n">
        <v>44866</v>
      </c>
      <c r="C72" s="1" t="n">
        <v>46198</v>
      </c>
      <c r="D72" t="inlineStr">
        <is>
          <t>KALMAR LÄN</t>
        </is>
      </c>
      <c r="E72" t="inlineStr">
        <is>
          <t>OSKARSHAMN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65320-2021</t>
        </is>
      </c>
      <c r="B73" s="1" t="n">
        <v>44515</v>
      </c>
      <c r="C73" s="1" t="n">
        <v>46198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7143-2022</t>
        </is>
      </c>
      <c r="B74" s="1" t="n">
        <v>44603</v>
      </c>
      <c r="C74" s="1" t="n">
        <v>46198</v>
      </c>
      <c r="D74" t="inlineStr">
        <is>
          <t>KALMAR LÄN</t>
        </is>
      </c>
      <c r="E74" t="inlineStr">
        <is>
          <t>OSKARSHAMN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46198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2721-2022</t>
        </is>
      </c>
      <c r="B76" s="1" t="n">
        <v>44580</v>
      </c>
      <c r="C76" s="1" t="n">
        <v>46198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46794-2022</t>
        </is>
      </c>
      <c r="B77" s="1" t="n">
        <v>44851</v>
      </c>
      <c r="C77" s="1" t="n">
        <v>46198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46198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46198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46198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46198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46198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56030-2021</t>
        </is>
      </c>
      <c r="B83" s="1" t="n">
        <v>44477</v>
      </c>
      <c r="C83" s="1" t="n">
        <v>46198</v>
      </c>
      <c r="D83" t="inlineStr">
        <is>
          <t>KALMAR LÄN</t>
        </is>
      </c>
      <c r="E83" t="inlineStr">
        <is>
          <t>OSKARSHAMN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47433-2021</t>
        </is>
      </c>
      <c r="B84" s="1" t="n">
        <v>44447</v>
      </c>
      <c r="C84" s="1" t="n">
        <v>46198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</v>
      </c>
      <c r="C85" s="1" t="n">
        <v>46198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71339-2021</t>
        </is>
      </c>
      <c r="B86" s="1" t="n">
        <v>44539</v>
      </c>
      <c r="C86" s="1" t="n">
        <v>46198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72736-2021</t>
        </is>
      </c>
      <c r="B87" s="1" t="n">
        <v>44546</v>
      </c>
      <c r="C87" s="1" t="n">
        <v>46198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57318-2021</t>
        </is>
      </c>
      <c r="B88" s="1" t="n">
        <v>44483</v>
      </c>
      <c r="C88" s="1" t="n">
        <v>46198</v>
      </c>
      <c r="D88" t="inlineStr">
        <is>
          <t>KALMAR LÄN</t>
        </is>
      </c>
      <c r="E88" t="inlineStr">
        <is>
          <t>OSKARSHAMN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42594-2021</t>
        </is>
      </c>
      <c r="B89" s="1" t="n">
        <v>44428</v>
      </c>
      <c r="C89" s="1" t="n">
        <v>46198</v>
      </c>
      <c r="D89" t="inlineStr">
        <is>
          <t>KALMAR LÄN</t>
        </is>
      </c>
      <c r="E89" t="inlineStr">
        <is>
          <t>OSKARSHAMN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</v>
      </c>
      <c r="C90" s="1" t="n">
        <v>46198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60913-2021</t>
        </is>
      </c>
      <c r="B91" s="1" t="n">
        <v>44497</v>
      </c>
      <c r="C91" s="1" t="n">
        <v>46198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</v>
      </c>
      <c r="C92" s="1" t="n">
        <v>46198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46198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46198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</v>
      </c>
      <c r="C95" s="1" t="n">
        <v>46198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</v>
      </c>
      <c r="C96" s="1" t="n">
        <v>46198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46198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46198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46198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10107-2022</t>
        </is>
      </c>
      <c r="B100" s="1" t="n">
        <v>44621</v>
      </c>
      <c r="C100" s="1" t="n">
        <v>46198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5661-2022</t>
        </is>
      </c>
      <c r="B101" s="1" t="n">
        <v>44596</v>
      </c>
      <c r="C101" s="1" t="n">
        <v>46198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</v>
      </c>
      <c r="C102" s="1" t="n">
        <v>46198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51461-2022</t>
        </is>
      </c>
      <c r="B103" s="1" t="n">
        <v>44869</v>
      </c>
      <c r="C103" s="1" t="n">
        <v>46198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21916-2022</t>
        </is>
      </c>
      <c r="B104" s="1" t="n">
        <v>44711</v>
      </c>
      <c r="C104" s="1" t="n">
        <v>46198</v>
      </c>
      <c r="D104" t="inlineStr">
        <is>
          <t>KALMAR LÄN</t>
        </is>
      </c>
      <c r="E104" t="inlineStr">
        <is>
          <t>OSKARSHAMN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50933-2022</t>
        </is>
      </c>
      <c r="B105" s="1" t="n">
        <v>44865</v>
      </c>
      <c r="C105" s="1" t="n">
        <v>46198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37595-2021</t>
        </is>
      </c>
      <c r="B106" s="1" t="n">
        <v>44399</v>
      </c>
      <c r="C106" s="1" t="n">
        <v>46198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5854-2022</t>
        </is>
      </c>
      <c r="B107" s="1" t="n">
        <v>44596</v>
      </c>
      <c r="C107" s="1" t="n">
        <v>46198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22539-2022</t>
        </is>
      </c>
      <c r="B108" s="1" t="n">
        <v>44713</v>
      </c>
      <c r="C108" s="1" t="n">
        <v>46198</v>
      </c>
      <c r="D108" t="inlineStr">
        <is>
          <t>KALMAR LÄN</t>
        </is>
      </c>
      <c r="E108" t="inlineStr">
        <is>
          <t>OSKARSHAMN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22278-2022</t>
        </is>
      </c>
      <c r="B109" s="1" t="n">
        <v>44712</v>
      </c>
      <c r="C109" s="1" t="n">
        <v>46198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18278-2022</t>
        </is>
      </c>
      <c r="B110" s="1" t="n">
        <v>44685</v>
      </c>
      <c r="C110" s="1" t="n">
        <v>46198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46198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29932-2022</t>
        </is>
      </c>
      <c r="B112" s="1" t="n">
        <v>44756</v>
      </c>
      <c r="C112" s="1" t="n">
        <v>46198</v>
      </c>
      <c r="D112" t="inlineStr">
        <is>
          <t>KALMAR LÄN</t>
        </is>
      </c>
      <c r="E112" t="inlineStr">
        <is>
          <t>OSKARSHAMN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29941-2022</t>
        </is>
      </c>
      <c r="B113" s="1" t="n">
        <v>44756</v>
      </c>
      <c r="C113" s="1" t="n">
        <v>46198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34238-2022</t>
        </is>
      </c>
      <c r="B114" s="1" t="n">
        <v>44791</v>
      </c>
      <c r="C114" s="1" t="n">
        <v>46198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33606-2022</t>
        </is>
      </c>
      <c r="B115" s="1" t="n">
        <v>44789</v>
      </c>
      <c r="C115" s="1" t="n">
        <v>46198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39633-2022</t>
        </is>
      </c>
      <c r="B116" s="1" t="n">
        <v>44818</v>
      </c>
      <c r="C116" s="1" t="n">
        <v>46198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39677-2022</t>
        </is>
      </c>
      <c r="B117" s="1" t="n">
        <v>44818</v>
      </c>
      <c r="C117" s="1" t="n">
        <v>46198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46198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14876-2022</t>
        </is>
      </c>
      <c r="B119" s="1" t="n">
        <v>44656</v>
      </c>
      <c r="C119" s="1" t="n">
        <v>46198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6287-2023</t>
        </is>
      </c>
      <c r="B120" s="1" t="n">
        <v>44965</v>
      </c>
      <c r="C120" s="1" t="n">
        <v>46198</v>
      </c>
      <c r="D120" t="inlineStr">
        <is>
          <t>KALMAR LÄN</t>
        </is>
      </c>
      <c r="E120" t="inlineStr">
        <is>
          <t>OSKARSHAMN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62623-2021</t>
        </is>
      </c>
      <c r="B121" s="1" t="n">
        <v>44503</v>
      </c>
      <c r="C121" s="1" t="n">
        <v>46198</v>
      </c>
      <c r="D121" t="inlineStr">
        <is>
          <t>KALMAR LÄN</t>
        </is>
      </c>
      <c r="E121" t="inlineStr">
        <is>
          <t>OSKARSHAMN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35531-2024</t>
        </is>
      </c>
      <c r="B122" s="1" t="n">
        <v>45531</v>
      </c>
      <c r="C122" s="1" t="n">
        <v>46198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45883-2024</t>
        </is>
      </c>
      <c r="B123" s="1" t="n">
        <v>45580</v>
      </c>
      <c r="C123" s="1" t="n">
        <v>46198</v>
      </c>
      <c r="D123" t="inlineStr">
        <is>
          <t>KALMAR LÄN</t>
        </is>
      </c>
      <c r="E123" t="inlineStr">
        <is>
          <t>OSKARSHAMN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45900-2024</t>
        </is>
      </c>
      <c r="B124" s="1" t="n">
        <v>45580</v>
      </c>
      <c r="C124" s="1" t="n">
        <v>46198</v>
      </c>
      <c r="D124" t="inlineStr">
        <is>
          <t>KALMAR LÄN</t>
        </is>
      </c>
      <c r="E124" t="inlineStr">
        <is>
          <t>OSKARSHAMN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22878-2024</t>
        </is>
      </c>
      <c r="B125" s="1" t="n">
        <v>45448</v>
      </c>
      <c r="C125" s="1" t="n">
        <v>46198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22880-2024</t>
        </is>
      </c>
      <c r="B126" s="1" t="n">
        <v>45448</v>
      </c>
      <c r="C126" s="1" t="n">
        <v>46198</v>
      </c>
      <c r="D126" t="inlineStr">
        <is>
          <t>KALMAR LÄN</t>
        </is>
      </c>
      <c r="E126" t="inlineStr">
        <is>
          <t>OSKARSHAMN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43173-2024</t>
        </is>
      </c>
      <c r="B127" s="1" t="n">
        <v>45567</v>
      </c>
      <c r="C127" s="1" t="n">
        <v>46198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16673-2024</t>
        </is>
      </c>
      <c r="B128" s="1" t="n">
        <v>45408</v>
      </c>
      <c r="C128" s="1" t="n">
        <v>46198</v>
      </c>
      <c r="D128" t="inlineStr">
        <is>
          <t>KALMAR LÄN</t>
        </is>
      </c>
      <c r="E128" t="inlineStr">
        <is>
          <t>OSKARSHAMN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30000-2022</t>
        </is>
      </c>
      <c r="B129" s="1" t="n">
        <v>44756</v>
      </c>
      <c r="C129" s="1" t="n">
        <v>46198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8711-2023</t>
        </is>
      </c>
      <c r="B130" s="1" t="n">
        <v>44978</v>
      </c>
      <c r="C130" s="1" t="n">
        <v>46198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7882-2023</t>
        </is>
      </c>
      <c r="B131" s="1" t="n">
        <v>44973</v>
      </c>
      <c r="C131" s="1" t="n">
        <v>46198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27684-2022</t>
        </is>
      </c>
      <c r="B132" s="1" t="n">
        <v>44743</v>
      </c>
      <c r="C132" s="1" t="n">
        <v>46198</v>
      </c>
      <c r="D132" t="inlineStr">
        <is>
          <t>KALMAR LÄN</t>
        </is>
      </c>
      <c r="E132" t="inlineStr">
        <is>
          <t>OSKARSHAMN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10099-2024</t>
        </is>
      </c>
      <c r="B133" s="1" t="n">
        <v>45364</v>
      </c>
      <c r="C133" s="1" t="n">
        <v>46198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30106-2023</t>
        </is>
      </c>
      <c r="B134" s="1" t="n">
        <v>45110</v>
      </c>
      <c r="C134" s="1" t="n">
        <v>46198</v>
      </c>
      <c r="D134" t="inlineStr">
        <is>
          <t>KALMAR LÄN</t>
        </is>
      </c>
      <c r="E134" t="inlineStr">
        <is>
          <t>OSKARSHAMN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30109-2023</t>
        </is>
      </c>
      <c r="B135" s="1" t="n">
        <v>45110</v>
      </c>
      <c r="C135" s="1" t="n">
        <v>46198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1401-2022</t>
        </is>
      </c>
      <c r="B136" s="1" t="n">
        <v>44573</v>
      </c>
      <c r="C136" s="1" t="n">
        <v>46198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57359-2024</t>
        </is>
      </c>
      <c r="B137" s="1" t="n">
        <v>45629</v>
      </c>
      <c r="C137" s="1" t="n">
        <v>46198</v>
      </c>
      <c r="D137" t="inlineStr">
        <is>
          <t>KALMAR LÄN</t>
        </is>
      </c>
      <c r="E137" t="inlineStr">
        <is>
          <t>OSKARSHAMN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19704-2024</t>
        </is>
      </c>
      <c r="B138" s="1" t="n">
        <v>45432</v>
      </c>
      <c r="C138" s="1" t="n">
        <v>46198</v>
      </c>
      <c r="D138" t="inlineStr">
        <is>
          <t>KALMAR LÄN</t>
        </is>
      </c>
      <c r="E138" t="inlineStr">
        <is>
          <t>OSKARSHAMN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29022-2022</t>
        </is>
      </c>
      <c r="B139" s="1" t="n">
        <v>44749</v>
      </c>
      <c r="C139" s="1" t="n">
        <v>46198</v>
      </c>
      <c r="D139" t="inlineStr">
        <is>
          <t>KALMAR LÄN</t>
        </is>
      </c>
      <c r="E139" t="inlineStr">
        <is>
          <t>OSKARSHAMN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11469-2024</t>
        </is>
      </c>
      <c r="B140" s="1" t="n">
        <v>45372</v>
      </c>
      <c r="C140" s="1" t="n">
        <v>46198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30182-2024</t>
        </is>
      </c>
      <c r="B141" s="1" t="n">
        <v>45489</v>
      </c>
      <c r="C141" s="1" t="n">
        <v>46198</v>
      </c>
      <c r="D141" t="inlineStr">
        <is>
          <t>KALMAR LÄN</t>
        </is>
      </c>
      <c r="E141" t="inlineStr">
        <is>
          <t>OSKARSHAMN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30278-2024</t>
        </is>
      </c>
      <c r="B142" s="1" t="n">
        <v>45490</v>
      </c>
      <c r="C142" s="1" t="n">
        <v>46198</v>
      </c>
      <c r="D142" t="inlineStr">
        <is>
          <t>KALMAR LÄN</t>
        </is>
      </c>
      <c r="E142" t="inlineStr">
        <is>
          <t>OSKARSHAMN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11966-2023</t>
        </is>
      </c>
      <c r="B143" s="1" t="n">
        <v>44995</v>
      </c>
      <c r="C143" s="1" t="n">
        <v>46198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7813-2024</t>
        </is>
      </c>
      <c r="B144" s="1" t="n">
        <v>45349</v>
      </c>
      <c r="C144" s="1" t="n">
        <v>46198</v>
      </c>
      <c r="D144" t="inlineStr">
        <is>
          <t>KALMAR LÄN</t>
        </is>
      </c>
      <c r="E144" t="inlineStr">
        <is>
          <t>OSKARSHAMN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5145-2025</t>
        </is>
      </c>
      <c r="B145" s="1" t="n">
        <v>45691</v>
      </c>
      <c r="C145" s="1" t="n">
        <v>46198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39670-2022</t>
        </is>
      </c>
      <c r="B146" s="1" t="n">
        <v>44818</v>
      </c>
      <c r="C146" s="1" t="n">
        <v>46198</v>
      </c>
      <c r="D146" t="inlineStr">
        <is>
          <t>KALMAR LÄN</t>
        </is>
      </c>
      <c r="E146" t="inlineStr">
        <is>
          <t>OSKARSHAMN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19795-2023</t>
        </is>
      </c>
      <c r="B147" s="1" t="n">
        <v>45051</v>
      </c>
      <c r="C147" s="1" t="n">
        <v>46198</v>
      </c>
      <c r="D147" t="inlineStr">
        <is>
          <t>KALMAR LÄN</t>
        </is>
      </c>
      <c r="E147" t="inlineStr">
        <is>
          <t>OSKARSHAMN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15925-2023</t>
        </is>
      </c>
      <c r="B148" s="1" t="n">
        <v>45022</v>
      </c>
      <c r="C148" s="1" t="n">
        <v>46198</v>
      </c>
      <c r="D148" t="inlineStr">
        <is>
          <t>KALMAR LÄN</t>
        </is>
      </c>
      <c r="E148" t="inlineStr">
        <is>
          <t>OSKARSHAMN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3820-2023</t>
        </is>
      </c>
      <c r="B149" s="1" t="n">
        <v>44951</v>
      </c>
      <c r="C149" s="1" t="n">
        <v>46198</v>
      </c>
      <c r="D149" t="inlineStr">
        <is>
          <t>KALMAR LÄN</t>
        </is>
      </c>
      <c r="E149" t="inlineStr">
        <is>
          <t>OSKARSHAMN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59389-2023</t>
        </is>
      </c>
      <c r="B150" s="1" t="n">
        <v>45253</v>
      </c>
      <c r="C150" s="1" t="n">
        <v>46198</v>
      </c>
      <c r="D150" t="inlineStr">
        <is>
          <t>KALMAR LÄN</t>
        </is>
      </c>
      <c r="E150" t="inlineStr">
        <is>
          <t>OSKARSHAMN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45493-2021</t>
        </is>
      </c>
      <c r="B151" s="1" t="n">
        <v>44440</v>
      </c>
      <c r="C151" s="1" t="n">
        <v>46198</v>
      </c>
      <c r="D151" t="inlineStr">
        <is>
          <t>KALMAR LÄN</t>
        </is>
      </c>
      <c r="E151" t="inlineStr">
        <is>
          <t>OSKARSHAMN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61676-2022</t>
        </is>
      </c>
      <c r="B152" s="1" t="n">
        <v>44917</v>
      </c>
      <c r="C152" s="1" t="n">
        <v>46198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46603-2023</t>
        </is>
      </c>
      <c r="B153" s="1" t="n">
        <v>45198</v>
      </c>
      <c r="C153" s="1" t="n">
        <v>46198</v>
      </c>
      <c r="D153" t="inlineStr">
        <is>
          <t>KALMAR LÄN</t>
        </is>
      </c>
      <c r="E153" t="inlineStr">
        <is>
          <t>OSKARSHAMN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16811-2025</t>
        </is>
      </c>
      <c r="B154" s="1" t="n">
        <v>45754</v>
      </c>
      <c r="C154" s="1" t="n">
        <v>46198</v>
      </c>
      <c r="D154" t="inlineStr">
        <is>
          <t>KALMAR LÄN</t>
        </is>
      </c>
      <c r="E154" t="inlineStr">
        <is>
          <t>OSKARSHAMN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29283-2024</t>
        </is>
      </c>
      <c r="B155" s="1" t="n">
        <v>45482</v>
      </c>
      <c r="C155" s="1" t="n">
        <v>46198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212-2024</t>
        </is>
      </c>
      <c r="B156" s="1" t="n">
        <v>45294</v>
      </c>
      <c r="C156" s="1" t="n">
        <v>46198</v>
      </c>
      <c r="D156" t="inlineStr">
        <is>
          <t>KALMAR LÄN</t>
        </is>
      </c>
      <c r="E156" t="inlineStr">
        <is>
          <t>OSKARSHAMN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47953-2023</t>
        </is>
      </c>
      <c r="B157" s="1" t="n">
        <v>45204</v>
      </c>
      <c r="C157" s="1" t="n">
        <v>46198</v>
      </c>
      <c r="D157" t="inlineStr">
        <is>
          <t>KALMAR LÄN</t>
        </is>
      </c>
      <c r="E157" t="inlineStr">
        <is>
          <t>OSKARSHAMN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38862-2023</t>
        </is>
      </c>
      <c r="B158" s="1" t="n">
        <v>45163</v>
      </c>
      <c r="C158" s="1" t="n">
        <v>46198</v>
      </c>
      <c r="D158" t="inlineStr">
        <is>
          <t>KALMAR LÄN</t>
        </is>
      </c>
      <c r="E158" t="inlineStr">
        <is>
          <t>OSKARSHAMN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16677-2024</t>
        </is>
      </c>
      <c r="B159" s="1" t="n">
        <v>45408</v>
      </c>
      <c r="C159" s="1" t="n">
        <v>46198</v>
      </c>
      <c r="D159" t="inlineStr">
        <is>
          <t>KALMAR LÄN</t>
        </is>
      </c>
      <c r="E159" t="inlineStr">
        <is>
          <t>OSKARSHAMN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35584-2023</t>
        </is>
      </c>
      <c r="B160" s="1" t="n">
        <v>45147</v>
      </c>
      <c r="C160" s="1" t="n">
        <v>46198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49841-2023</t>
        </is>
      </c>
      <c r="B161" s="1" t="n">
        <v>45212</v>
      </c>
      <c r="C161" s="1" t="n">
        <v>46198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48500-2023</t>
        </is>
      </c>
      <c r="B162" s="1" t="n">
        <v>45207</v>
      </c>
      <c r="C162" s="1" t="n">
        <v>46198</v>
      </c>
      <c r="D162" t="inlineStr">
        <is>
          <t>KALMAR LÄN</t>
        </is>
      </c>
      <c r="E162" t="inlineStr">
        <is>
          <t>OSKARSHAMN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52727-2024</t>
        </is>
      </c>
      <c r="B163" s="1" t="n">
        <v>45610</v>
      </c>
      <c r="C163" s="1" t="n">
        <v>46198</v>
      </c>
      <c r="D163" t="inlineStr">
        <is>
          <t>KALMAR LÄN</t>
        </is>
      </c>
      <c r="E163" t="inlineStr">
        <is>
          <t>OSKARSHAMN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5845-2023</t>
        </is>
      </c>
      <c r="B164" s="1" t="n">
        <v>44963</v>
      </c>
      <c r="C164" s="1" t="n">
        <v>46198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15222-2023</t>
        </is>
      </c>
      <c r="B165" s="1" t="n">
        <v>45019</v>
      </c>
      <c r="C165" s="1" t="n">
        <v>46198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13073-2024</t>
        </is>
      </c>
      <c r="B166" s="1" t="n">
        <v>45385</v>
      </c>
      <c r="C166" s="1" t="n">
        <v>46198</v>
      </c>
      <c r="D166" t="inlineStr">
        <is>
          <t>KALMAR LÄN</t>
        </is>
      </c>
      <c r="E166" t="inlineStr">
        <is>
          <t>OSKARSHAMN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2778-2024</t>
        </is>
      </c>
      <c r="B167" s="1" t="n">
        <v>45314</v>
      </c>
      <c r="C167" s="1" t="n">
        <v>46198</v>
      </c>
      <c r="D167" t="inlineStr">
        <is>
          <t>KALMAR LÄN</t>
        </is>
      </c>
      <c r="E167" t="inlineStr">
        <is>
          <t>OSKARSHAMN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12849-2024</t>
        </is>
      </c>
      <c r="B168" s="1" t="n">
        <v>45384</v>
      </c>
      <c r="C168" s="1" t="n">
        <v>46198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12850-2024</t>
        </is>
      </c>
      <c r="B169" s="1" t="n">
        <v>45384</v>
      </c>
      <c r="C169" s="1" t="n">
        <v>46198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16761-2024</t>
        </is>
      </c>
      <c r="B170" s="1" t="n">
        <v>45411</v>
      </c>
      <c r="C170" s="1" t="n">
        <v>46198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11656-2023</t>
        </is>
      </c>
      <c r="B171" s="1" t="n">
        <v>44994</v>
      </c>
      <c r="C171" s="1" t="n">
        <v>46198</v>
      </c>
      <c r="D171" t="inlineStr">
        <is>
          <t>KALMAR LÄN</t>
        </is>
      </c>
      <c r="E171" t="inlineStr">
        <is>
          <t>OSKARSHAMN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15875-2022</t>
        </is>
      </c>
      <c r="B172" s="1" t="n">
        <v>44664</v>
      </c>
      <c r="C172" s="1" t="n">
        <v>46198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35566-2023</t>
        </is>
      </c>
      <c r="B173" s="1" t="n">
        <v>45147</v>
      </c>
      <c r="C173" s="1" t="n">
        <v>46198</v>
      </c>
      <c r="D173" t="inlineStr">
        <is>
          <t>KALMAR LÄN</t>
        </is>
      </c>
      <c r="E173" t="inlineStr">
        <is>
          <t>OSKARSHAMN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9350-2025</t>
        </is>
      </c>
      <c r="B174" s="1" t="n">
        <v>45714</v>
      </c>
      <c r="C174" s="1" t="n">
        <v>46198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15754-2022</t>
        </is>
      </c>
      <c r="B175" s="1" t="n">
        <v>44663</v>
      </c>
      <c r="C175" s="1" t="n">
        <v>46198</v>
      </c>
      <c r="D175" t="inlineStr">
        <is>
          <t>KALMAR LÄN</t>
        </is>
      </c>
      <c r="E175" t="inlineStr">
        <is>
          <t>OSKARSHAMN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51993-2023</t>
        </is>
      </c>
      <c r="B176" s="1" t="n">
        <v>45223</v>
      </c>
      <c r="C176" s="1" t="n">
        <v>46198</v>
      </c>
      <c r="D176" t="inlineStr">
        <is>
          <t>KALMAR LÄN</t>
        </is>
      </c>
      <c r="E176" t="inlineStr">
        <is>
          <t>OSKARSHAMN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5145-2024</t>
        </is>
      </c>
      <c r="B177" s="1" t="n">
        <v>45330</v>
      </c>
      <c r="C177" s="1" t="n">
        <v>46198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18576-2023</t>
        </is>
      </c>
      <c r="B178" s="1" t="n">
        <v>45043</v>
      </c>
      <c r="C178" s="1" t="n">
        <v>46198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4074-2024</t>
        </is>
      </c>
      <c r="B179" s="1" t="n">
        <v>45323</v>
      </c>
      <c r="C179" s="1" t="n">
        <v>46198</v>
      </c>
      <c r="D179" t="inlineStr">
        <is>
          <t>KALMAR LÄN</t>
        </is>
      </c>
      <c r="E179" t="inlineStr">
        <is>
          <t>OSKARSHAMN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30215-2023</t>
        </is>
      </c>
      <c r="B180" s="1" t="n">
        <v>45110</v>
      </c>
      <c r="C180" s="1" t="n">
        <v>46198</v>
      </c>
      <c r="D180" t="inlineStr">
        <is>
          <t>KALMAR LÄN</t>
        </is>
      </c>
      <c r="E180" t="inlineStr">
        <is>
          <t>OSKARSHAMN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9385-2024</t>
        </is>
      </c>
      <c r="B181" s="1" t="n">
        <v>45359</v>
      </c>
      <c r="C181" s="1" t="n">
        <v>46198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39937-2023</t>
        </is>
      </c>
      <c r="B182" s="1" t="n">
        <v>45168</v>
      </c>
      <c r="C182" s="1" t="n">
        <v>46198</v>
      </c>
      <c r="D182" t="inlineStr">
        <is>
          <t>KALMAR LÄN</t>
        </is>
      </c>
      <c r="E182" t="inlineStr">
        <is>
          <t>OSKARSHAMN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54635-2024</t>
        </is>
      </c>
      <c r="B183" s="1" t="n">
        <v>45617</v>
      </c>
      <c r="C183" s="1" t="n">
        <v>46198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48539-2023</t>
        </is>
      </c>
      <c r="B184" s="1" t="n">
        <v>45208</v>
      </c>
      <c r="C184" s="1" t="n">
        <v>46198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59474-2023</t>
        </is>
      </c>
      <c r="B185" s="1" t="n">
        <v>45254</v>
      </c>
      <c r="C185" s="1" t="n">
        <v>46198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6909-2022</t>
        </is>
      </c>
      <c r="B186" s="1" t="n">
        <v>44602</v>
      </c>
      <c r="C186" s="1" t="n">
        <v>46198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47965-2023</t>
        </is>
      </c>
      <c r="B187" s="1" t="n">
        <v>45204</v>
      </c>
      <c r="C187" s="1" t="n">
        <v>46198</v>
      </c>
      <c r="D187" t="inlineStr">
        <is>
          <t>KALMAR LÄN</t>
        </is>
      </c>
      <c r="E187" t="inlineStr">
        <is>
          <t>OSKARSHAMN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21906-2022</t>
        </is>
      </c>
      <c r="B188" s="1" t="n">
        <v>44711</v>
      </c>
      <c r="C188" s="1" t="n">
        <v>46198</v>
      </c>
      <c r="D188" t="inlineStr">
        <is>
          <t>KALMAR LÄN</t>
        </is>
      </c>
      <c r="E188" t="inlineStr">
        <is>
          <t>OSKARSHAMN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10721-2024</t>
        </is>
      </c>
      <c r="B189" s="1" t="n">
        <v>45369</v>
      </c>
      <c r="C189" s="1" t="n">
        <v>46198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10724-2024</t>
        </is>
      </c>
      <c r="B190" s="1" t="n">
        <v>45369</v>
      </c>
      <c r="C190" s="1" t="n">
        <v>46198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15782-2023</t>
        </is>
      </c>
      <c r="B191" s="1" t="n">
        <v>45021</v>
      </c>
      <c r="C191" s="1" t="n">
        <v>46198</v>
      </c>
      <c r="D191" t="inlineStr">
        <is>
          <t>KALMAR LÄN</t>
        </is>
      </c>
      <c r="E191" t="inlineStr">
        <is>
          <t>OSKARSHAMN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39651-2022</t>
        </is>
      </c>
      <c r="B192" s="1" t="n">
        <v>44818</v>
      </c>
      <c r="C192" s="1" t="n">
        <v>46198</v>
      </c>
      <c r="D192" t="inlineStr">
        <is>
          <t>KALMAR LÄN</t>
        </is>
      </c>
      <c r="E192" t="inlineStr">
        <is>
          <t>OSKARSHAMN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39201-2022</t>
        </is>
      </c>
      <c r="B193" s="1" t="n">
        <v>44817</v>
      </c>
      <c r="C193" s="1" t="n">
        <v>46198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56206-2023</t>
        </is>
      </c>
      <c r="B194" s="1" t="n">
        <v>45240</v>
      </c>
      <c r="C194" s="1" t="n">
        <v>46198</v>
      </c>
      <c r="D194" t="inlineStr">
        <is>
          <t>KALMAR LÄN</t>
        </is>
      </c>
      <c r="E194" t="inlineStr">
        <is>
          <t>OSKARSHAMN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49804-2022</t>
        </is>
      </c>
      <c r="B195" s="1" t="n">
        <v>44862</v>
      </c>
      <c r="C195" s="1" t="n">
        <v>46198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49817-2023</t>
        </is>
      </c>
      <c r="B196" s="1" t="n">
        <v>45212</v>
      </c>
      <c r="C196" s="1" t="n">
        <v>46198</v>
      </c>
      <c r="D196" t="inlineStr">
        <is>
          <t>KALMAR LÄN</t>
        </is>
      </c>
      <c r="E196" t="inlineStr">
        <is>
          <t>OSKARSHAMN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27098-2023</t>
        </is>
      </c>
      <c r="B197" s="1" t="n">
        <v>45096</v>
      </c>
      <c r="C197" s="1" t="n">
        <v>46198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6123-2024</t>
        </is>
      </c>
      <c r="B198" s="1" t="n">
        <v>45337</v>
      </c>
      <c r="C198" s="1" t="n">
        <v>46198</v>
      </c>
      <c r="D198" t="inlineStr">
        <is>
          <t>KALMAR LÄN</t>
        </is>
      </c>
      <c r="E198" t="inlineStr">
        <is>
          <t>OSKARSHAMN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17194-2023</t>
        </is>
      </c>
      <c r="B199" s="1" t="n">
        <v>45034</v>
      </c>
      <c r="C199" s="1" t="n">
        <v>46198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60871-2022</t>
        </is>
      </c>
      <c r="B200" s="1" t="n">
        <v>44914</v>
      </c>
      <c r="C200" s="1" t="n">
        <v>46198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60905-2022</t>
        </is>
      </c>
      <c r="B201" s="1" t="n">
        <v>44914</v>
      </c>
      <c r="C201" s="1" t="n">
        <v>46198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50592-2024</t>
        </is>
      </c>
      <c r="B202" s="1" t="n">
        <v>45601</v>
      </c>
      <c r="C202" s="1" t="n">
        <v>46198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31146-2023</t>
        </is>
      </c>
      <c r="B203" s="1" t="n">
        <v>45113</v>
      </c>
      <c r="C203" s="1" t="n">
        <v>46198</v>
      </c>
      <c r="D203" t="inlineStr">
        <is>
          <t>KALMAR LÄN</t>
        </is>
      </c>
      <c r="E203" t="inlineStr">
        <is>
          <t>OSKARSHAMN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48582-2021</t>
        </is>
      </c>
      <c r="B204" s="1" t="n">
        <v>44452</v>
      </c>
      <c r="C204" s="1" t="n">
        <v>46198</v>
      </c>
      <c r="D204" t="inlineStr">
        <is>
          <t>KALMAR LÄN</t>
        </is>
      </c>
      <c r="E204" t="inlineStr">
        <is>
          <t>OSKARSHAMN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63522-2023</t>
        </is>
      </c>
      <c r="B205" s="1" t="n">
        <v>45274</v>
      </c>
      <c r="C205" s="1" t="n">
        <v>46198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39063-2025</t>
        </is>
      </c>
      <c r="B206" s="1" t="n">
        <v>45888</v>
      </c>
      <c r="C206" s="1" t="n">
        <v>46198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39069-2025</t>
        </is>
      </c>
      <c r="B207" s="1" t="n">
        <v>45888</v>
      </c>
      <c r="C207" s="1" t="n">
        <v>46198</v>
      </c>
      <c r="D207" t="inlineStr">
        <is>
          <t>KALMAR LÄN</t>
        </is>
      </c>
      <c r="E207" t="inlineStr">
        <is>
          <t>OSKARSHAMN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21942-2025</t>
        </is>
      </c>
      <c r="B208" s="1" t="n">
        <v>45784</v>
      </c>
      <c r="C208" s="1" t="n">
        <v>46198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13729-2023</t>
        </is>
      </c>
      <c r="B209" s="1" t="n">
        <v>45007</v>
      </c>
      <c r="C209" s="1" t="n">
        <v>46198</v>
      </c>
      <c r="D209" t="inlineStr">
        <is>
          <t>KALMAR LÄN</t>
        </is>
      </c>
      <c r="E209" t="inlineStr">
        <is>
          <t>OSKARSHAMN</t>
        </is>
      </c>
      <c r="F209" t="inlineStr">
        <is>
          <t>Övriga Aktiebolag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17264-2025</t>
        </is>
      </c>
      <c r="B210" s="1" t="n">
        <v>45756</v>
      </c>
      <c r="C210" s="1" t="n">
        <v>46198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57254-2025</t>
        </is>
      </c>
      <c r="B211" s="1" t="n">
        <v>45979</v>
      </c>
      <c r="C211" s="1" t="n">
        <v>46198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43463-2022</t>
        </is>
      </c>
      <c r="B212" s="1" t="n">
        <v>44836</v>
      </c>
      <c r="C212" s="1" t="n">
        <v>46198</v>
      </c>
      <c r="D212" t="inlineStr">
        <is>
          <t>KALMAR LÄN</t>
        </is>
      </c>
      <c r="E212" t="inlineStr">
        <is>
          <t>OSKARSHAMN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62413-2025</t>
        </is>
      </c>
      <c r="B213" s="1" t="n">
        <v>46007</v>
      </c>
      <c r="C213" s="1" t="n">
        <v>46198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</v>
      </c>
      <c r="C214" s="1" t="n">
        <v>46198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47638-2025</t>
        </is>
      </c>
      <c r="B215" s="1" t="n">
        <v>45931</v>
      </c>
      <c r="C215" s="1" t="n">
        <v>46198</v>
      </c>
      <c r="D215" t="inlineStr">
        <is>
          <t>KALMAR LÄN</t>
        </is>
      </c>
      <c r="E215" t="inlineStr">
        <is>
          <t>OSKARSHAMN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31894-2025</t>
        </is>
      </c>
      <c r="B216" s="1" t="n">
        <v>45834</v>
      </c>
      <c r="C216" s="1" t="n">
        <v>46198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59456-2023</t>
        </is>
      </c>
      <c r="B217" s="1" t="n">
        <v>45254</v>
      </c>
      <c r="C217" s="1" t="n">
        <v>46198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53024-2021</t>
        </is>
      </c>
      <c r="B218" s="1" t="n">
        <v>44467</v>
      </c>
      <c r="C218" s="1" t="n">
        <v>46198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42841-2025</t>
        </is>
      </c>
      <c r="B219" s="1" t="n">
        <v>45908</v>
      </c>
      <c r="C219" s="1" t="n">
        <v>46198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46392-2021</t>
        </is>
      </c>
      <c r="B220" s="1" t="n">
        <v>44443</v>
      </c>
      <c r="C220" s="1" t="n">
        <v>46198</v>
      </c>
      <c r="D220" t="inlineStr">
        <is>
          <t>KALMAR LÄN</t>
        </is>
      </c>
      <c r="E220" t="inlineStr">
        <is>
          <t>OSKARSHAMN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5889-2023</t>
        </is>
      </c>
      <c r="B221" s="1" t="n">
        <v>44963</v>
      </c>
      <c r="C221" s="1" t="n">
        <v>46198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30950-2025</t>
        </is>
      </c>
      <c r="B222" s="1" t="n">
        <v>45832</v>
      </c>
      <c r="C222" s="1" t="n">
        <v>46198</v>
      </c>
      <c r="D222" t="inlineStr">
        <is>
          <t>KALMAR LÄN</t>
        </is>
      </c>
      <c r="E222" t="inlineStr">
        <is>
          <t>OSKARSHAMN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50471-2023</t>
        </is>
      </c>
      <c r="B223" s="1" t="n">
        <v>45216</v>
      </c>
      <c r="C223" s="1" t="n">
        <v>46198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46198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41612-2025</t>
        </is>
      </c>
      <c r="B225" s="1" t="n">
        <v>45901</v>
      </c>
      <c r="C225" s="1" t="n">
        <v>46198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33306-2021</t>
        </is>
      </c>
      <c r="B226" s="1" t="n">
        <v>44377</v>
      </c>
      <c r="C226" s="1" t="n">
        <v>46198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26260-2025</t>
        </is>
      </c>
      <c r="B227" s="1" t="n">
        <v>45805</v>
      </c>
      <c r="C227" s="1" t="n">
        <v>46198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42867-2025</t>
        </is>
      </c>
      <c r="B228" s="1" t="n">
        <v>45908</v>
      </c>
      <c r="C228" s="1" t="n">
        <v>46198</v>
      </c>
      <c r="D228" t="inlineStr">
        <is>
          <t>KALMAR LÄN</t>
        </is>
      </c>
      <c r="E228" t="inlineStr">
        <is>
          <t>OSKARSHAMN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5882-2023</t>
        </is>
      </c>
      <c r="B229" s="1" t="n">
        <v>44963</v>
      </c>
      <c r="C229" s="1" t="n">
        <v>46198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7260-2023</t>
        </is>
      </c>
      <c r="B230" s="1" t="n">
        <v>44970</v>
      </c>
      <c r="C230" s="1" t="n">
        <v>46198</v>
      </c>
      <c r="D230" t="inlineStr">
        <is>
          <t>KALMAR LÄN</t>
        </is>
      </c>
      <c r="E230" t="inlineStr">
        <is>
          <t>OSKARSHAMN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41857-2025</t>
        </is>
      </c>
      <c r="B231" s="1" t="n">
        <v>45902</v>
      </c>
      <c r="C231" s="1" t="n">
        <v>46198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27075-2025</t>
        </is>
      </c>
      <c r="B232" s="1" t="n">
        <v>45811</v>
      </c>
      <c r="C232" s="1" t="n">
        <v>46198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34066-2024</t>
        </is>
      </c>
      <c r="B233" s="1" t="n">
        <v>45523</v>
      </c>
      <c r="C233" s="1" t="n">
        <v>46198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42227-2025</t>
        </is>
      </c>
      <c r="B234" s="1" t="n">
        <v>45904</v>
      </c>
      <c r="C234" s="1" t="n">
        <v>46198</v>
      </c>
      <c r="D234" t="inlineStr">
        <is>
          <t>KALMAR LÄN</t>
        </is>
      </c>
      <c r="E234" t="inlineStr">
        <is>
          <t>OSKARSHAMN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42693-2025</t>
        </is>
      </c>
      <c r="B235" s="1" t="n">
        <v>45908</v>
      </c>
      <c r="C235" s="1" t="n">
        <v>46198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42797-2025</t>
        </is>
      </c>
      <c r="B236" s="1" t="n">
        <v>45908</v>
      </c>
      <c r="C236" s="1" t="n">
        <v>46198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42875-2025</t>
        </is>
      </c>
      <c r="B237" s="1" t="n">
        <v>45908</v>
      </c>
      <c r="C237" s="1" t="n">
        <v>46198</v>
      </c>
      <c r="D237" t="inlineStr">
        <is>
          <t>KALMAR LÄN</t>
        </is>
      </c>
      <c r="E237" t="inlineStr">
        <is>
          <t>OSKARSHAMN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42751-2025</t>
        </is>
      </c>
      <c r="B238" s="1" t="n">
        <v>45908</v>
      </c>
      <c r="C238" s="1" t="n">
        <v>46198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42769-2025</t>
        </is>
      </c>
      <c r="B239" s="1" t="n">
        <v>45908</v>
      </c>
      <c r="C239" s="1" t="n">
        <v>46198</v>
      </c>
      <c r="D239" t="inlineStr">
        <is>
          <t>KALMAR LÄN</t>
        </is>
      </c>
      <c r="E239" t="inlineStr">
        <is>
          <t>OSKARSHAMN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49592-2021</t>
        </is>
      </c>
      <c r="B240" s="1" t="n">
        <v>44455</v>
      </c>
      <c r="C240" s="1" t="n">
        <v>46198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35154-2024</t>
        </is>
      </c>
      <c r="B241" s="1" t="n">
        <v>45530</v>
      </c>
      <c r="C241" s="1" t="n">
        <v>46198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59013-2023</t>
        </is>
      </c>
      <c r="B242" s="1" t="n">
        <v>45252</v>
      </c>
      <c r="C242" s="1" t="n">
        <v>46198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9831-2023</t>
        </is>
      </c>
      <c r="B243" s="1" t="n">
        <v>44984</v>
      </c>
      <c r="C243" s="1" t="n">
        <v>46198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156-2022</t>
        </is>
      </c>
      <c r="B244" s="1" t="n">
        <v>44564</v>
      </c>
      <c r="C244" s="1" t="n">
        <v>46198</v>
      </c>
      <c r="D244" t="inlineStr">
        <is>
          <t>KALMAR LÄN</t>
        </is>
      </c>
      <c r="E244" t="inlineStr">
        <is>
          <t>OSKARSHAMN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37090-2021</t>
        </is>
      </c>
      <c r="B245" s="1" t="n">
        <v>44395</v>
      </c>
      <c r="C245" s="1" t="n">
        <v>46198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48000-2024</t>
        </is>
      </c>
      <c r="B246" s="1" t="n">
        <v>45589</v>
      </c>
      <c r="C246" s="1" t="n">
        <v>46198</v>
      </c>
      <c r="D246" t="inlineStr">
        <is>
          <t>KALMAR LÄN</t>
        </is>
      </c>
      <c r="E246" t="inlineStr">
        <is>
          <t>OSKARSHAMN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64475-2023</t>
        </is>
      </c>
      <c r="B247" s="1" t="n">
        <v>45280</v>
      </c>
      <c r="C247" s="1" t="n">
        <v>46198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18631-2025</t>
        </is>
      </c>
      <c r="B248" s="1" t="n">
        <v>45763</v>
      </c>
      <c r="C248" s="1" t="n">
        <v>46198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12567-2024</t>
        </is>
      </c>
      <c r="B249" s="1" t="n">
        <v>45379</v>
      </c>
      <c r="C249" s="1" t="n">
        <v>46198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47104-2025</t>
        </is>
      </c>
      <c r="B250" s="1" t="n">
        <v>45929</v>
      </c>
      <c r="C250" s="1" t="n">
        <v>46198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47059-2025</t>
        </is>
      </c>
      <c r="B251" s="1" t="n">
        <v>45929</v>
      </c>
      <c r="C251" s="1" t="n">
        <v>46198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47077-2025</t>
        </is>
      </c>
      <c r="B252" s="1" t="n">
        <v>45929</v>
      </c>
      <c r="C252" s="1" t="n">
        <v>46198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47095-2025</t>
        </is>
      </c>
      <c r="B253" s="1" t="n">
        <v>45929</v>
      </c>
      <c r="C253" s="1" t="n">
        <v>46198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47098-2025</t>
        </is>
      </c>
      <c r="B254" s="1" t="n">
        <v>45929</v>
      </c>
      <c r="C254" s="1" t="n">
        <v>46198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47062-2025</t>
        </is>
      </c>
      <c r="B255" s="1" t="n">
        <v>45929</v>
      </c>
      <c r="C255" s="1" t="n">
        <v>46198</v>
      </c>
      <c r="D255" t="inlineStr">
        <is>
          <t>KALMAR LÄN</t>
        </is>
      </c>
      <c r="E255" t="inlineStr">
        <is>
          <t>OSKARSHAMN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58401-2021</t>
        </is>
      </c>
      <c r="B256" s="1" t="n">
        <v>44488</v>
      </c>
      <c r="C256" s="1" t="n">
        <v>46198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47666-2025</t>
        </is>
      </c>
      <c r="B257" s="1" t="n">
        <v>45931</v>
      </c>
      <c r="C257" s="1" t="n">
        <v>46198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47650-2025</t>
        </is>
      </c>
      <c r="B258" s="1" t="n">
        <v>45931</v>
      </c>
      <c r="C258" s="1" t="n">
        <v>46198</v>
      </c>
      <c r="D258" t="inlineStr">
        <is>
          <t>KALMAR LÄN</t>
        </is>
      </c>
      <c r="E258" t="inlineStr">
        <is>
          <t>OSKARSHAMN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47652-2025</t>
        </is>
      </c>
      <c r="B259" s="1" t="n">
        <v>45931</v>
      </c>
      <c r="C259" s="1" t="n">
        <v>46198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47655-2025</t>
        </is>
      </c>
      <c r="B260" s="1" t="n">
        <v>45931</v>
      </c>
      <c r="C260" s="1" t="n">
        <v>46198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47163-2025</t>
        </is>
      </c>
      <c r="B261" s="1" t="n">
        <v>45929</v>
      </c>
      <c r="C261" s="1" t="n">
        <v>46198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47298-2025</t>
        </is>
      </c>
      <c r="B262" s="1" t="n">
        <v>45930</v>
      </c>
      <c r="C262" s="1" t="n">
        <v>46198</v>
      </c>
      <c r="D262" t="inlineStr">
        <is>
          <t>KALMAR LÄN</t>
        </is>
      </c>
      <c r="E262" t="inlineStr">
        <is>
          <t>OSKARSHAMN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47340-2025</t>
        </is>
      </c>
      <c r="B263" s="1" t="n">
        <v>45930</v>
      </c>
      <c r="C263" s="1" t="n">
        <v>46198</v>
      </c>
      <c r="D263" t="inlineStr">
        <is>
          <t>KALMAR LÄN</t>
        </is>
      </c>
      <c r="E263" t="inlineStr">
        <is>
          <t>OSKARSHAMN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31079-2023</t>
        </is>
      </c>
      <c r="B264" s="1" t="n">
        <v>45113</v>
      </c>
      <c r="C264" s="1" t="n">
        <v>46198</v>
      </c>
      <c r="D264" t="inlineStr">
        <is>
          <t>KALMAR LÄN</t>
        </is>
      </c>
      <c r="E264" t="inlineStr">
        <is>
          <t>OSKARSHAMN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47288-2025</t>
        </is>
      </c>
      <c r="B265" s="1" t="n">
        <v>45930</v>
      </c>
      <c r="C265" s="1" t="n">
        <v>46198</v>
      </c>
      <c r="D265" t="inlineStr">
        <is>
          <t>KALMAR LÄN</t>
        </is>
      </c>
      <c r="E265" t="inlineStr">
        <is>
          <t>OSKARSHAMN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47290-2025</t>
        </is>
      </c>
      <c r="B266" s="1" t="n">
        <v>45930</v>
      </c>
      <c r="C266" s="1" t="n">
        <v>46198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47283-2025</t>
        </is>
      </c>
      <c r="B267" s="1" t="n">
        <v>45930</v>
      </c>
      <c r="C267" s="1" t="n">
        <v>46198</v>
      </c>
      <c r="D267" t="inlineStr">
        <is>
          <t>KALMAR LÄN</t>
        </is>
      </c>
      <c r="E267" t="inlineStr">
        <is>
          <t>OSKARSHAMN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48923-2023</t>
        </is>
      </c>
      <c r="B268" s="1" t="n">
        <v>45209</v>
      </c>
      <c r="C268" s="1" t="n">
        <v>46198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47668-2025</t>
        </is>
      </c>
      <c r="B269" s="1" t="n">
        <v>45931</v>
      </c>
      <c r="C269" s="1" t="n">
        <v>46198</v>
      </c>
      <c r="D269" t="inlineStr">
        <is>
          <t>KALMAR LÄN</t>
        </is>
      </c>
      <c r="E269" t="inlineStr">
        <is>
          <t>OSKARSHAMN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47664-2025</t>
        </is>
      </c>
      <c r="B270" s="1" t="n">
        <v>45931</v>
      </c>
      <c r="C270" s="1" t="n">
        <v>46198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33946-2021</t>
        </is>
      </c>
      <c r="B271" s="1" t="n">
        <v>44378</v>
      </c>
      <c r="C271" s="1" t="n">
        <v>46198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55185-2025</t>
        </is>
      </c>
      <c r="B272" s="1" t="n">
        <v>45968</v>
      </c>
      <c r="C272" s="1" t="n">
        <v>46198</v>
      </c>
      <c r="D272" t="inlineStr">
        <is>
          <t>KALMAR LÄN</t>
        </is>
      </c>
      <c r="E272" t="inlineStr">
        <is>
          <t>OSKARSHAMN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9337-2023</t>
        </is>
      </c>
      <c r="B273" s="1" t="n">
        <v>44980</v>
      </c>
      <c r="C273" s="1" t="n">
        <v>46198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11665-2023</t>
        </is>
      </c>
      <c r="B274" s="1" t="n">
        <v>44994</v>
      </c>
      <c r="C274" s="1" t="n">
        <v>46198</v>
      </c>
      <c r="D274" t="inlineStr">
        <is>
          <t>KALMAR LÄN</t>
        </is>
      </c>
      <c r="E274" t="inlineStr">
        <is>
          <t>OSKARSHAMN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47635-2025</t>
        </is>
      </c>
      <c r="B275" s="1" t="n">
        <v>45931</v>
      </c>
      <c r="C275" s="1" t="n">
        <v>46198</v>
      </c>
      <c r="D275" t="inlineStr">
        <is>
          <t>KALMAR LÄN</t>
        </is>
      </c>
      <c r="E275" t="inlineStr">
        <is>
          <t>OSKARSHAMN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50256-2023</t>
        </is>
      </c>
      <c r="B276" s="1" t="n">
        <v>45209</v>
      </c>
      <c r="C276" s="1" t="n">
        <v>46198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58448-2025</t>
        </is>
      </c>
      <c r="B277" s="1" t="n">
        <v>45985</v>
      </c>
      <c r="C277" s="1" t="n">
        <v>46198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26026-2026</t>
        </is>
      </c>
      <c r="B278" s="1" t="n">
        <v>46181</v>
      </c>
      <c r="C278" s="1" t="n">
        <v>46198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62390-2025</t>
        </is>
      </c>
      <c r="B279" s="1" t="n">
        <v>46007</v>
      </c>
      <c r="C279" s="1" t="n">
        <v>46198</v>
      </c>
      <c r="D279" t="inlineStr">
        <is>
          <t>KALMAR LÄN</t>
        </is>
      </c>
      <c r="E279" t="inlineStr">
        <is>
          <t>OSKARSHAMN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38491-2025</t>
        </is>
      </c>
      <c r="B280" s="1" t="n">
        <v>45884</v>
      </c>
      <c r="C280" s="1" t="n">
        <v>46198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49660-2025</t>
        </is>
      </c>
      <c r="B281" s="1" t="n">
        <v>45939</v>
      </c>
      <c r="C281" s="1" t="n">
        <v>46198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8499-2023</t>
        </is>
      </c>
      <c r="B282" s="1" t="n">
        <v>44977</v>
      </c>
      <c r="C282" s="1" t="n">
        <v>46198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50409-2025</t>
        </is>
      </c>
      <c r="B283" s="1" t="n">
        <v>45944</v>
      </c>
      <c r="C283" s="1" t="n">
        <v>46198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58627-2025</t>
        </is>
      </c>
      <c r="B284" s="1" t="n">
        <v>45986</v>
      </c>
      <c r="C284" s="1" t="n">
        <v>46198</v>
      </c>
      <c r="D284" t="inlineStr">
        <is>
          <t>KALMAR LÄN</t>
        </is>
      </c>
      <c r="E284" t="inlineStr">
        <is>
          <t>OSKARSHAMN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26197-2026</t>
        </is>
      </c>
      <c r="B285" s="1" t="n">
        <v>46182</v>
      </c>
      <c r="C285" s="1" t="n">
        <v>46198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23202-2023</t>
        </is>
      </c>
      <c r="B286" s="1" t="n">
        <v>45075</v>
      </c>
      <c r="C286" s="1" t="n">
        <v>46198</v>
      </c>
      <c r="D286" t="inlineStr">
        <is>
          <t>KALMAR LÄN</t>
        </is>
      </c>
      <c r="E286" t="inlineStr">
        <is>
          <t>OSKARSHAMN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26451-2024</t>
        </is>
      </c>
      <c r="B287" s="1" t="n">
        <v>45469</v>
      </c>
      <c r="C287" s="1" t="n">
        <v>46198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8656-2022</t>
        </is>
      </c>
      <c r="B288" s="1" t="n">
        <v>44613</v>
      </c>
      <c r="C288" s="1" t="n">
        <v>46198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51767-2025</t>
        </is>
      </c>
      <c r="B289" s="1" t="n">
        <v>45950</v>
      </c>
      <c r="C289" s="1" t="n">
        <v>46198</v>
      </c>
      <c r="D289" t="inlineStr">
        <is>
          <t>KALMAR LÄN</t>
        </is>
      </c>
      <c r="E289" t="inlineStr">
        <is>
          <t>OSKARSHAMN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71340-2021</t>
        </is>
      </c>
      <c r="B290" s="1" t="n">
        <v>44539</v>
      </c>
      <c r="C290" s="1" t="n">
        <v>46198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15932-2023</t>
        </is>
      </c>
      <c r="B291" s="1" t="n">
        <v>45022</v>
      </c>
      <c r="C291" s="1" t="n">
        <v>46198</v>
      </c>
      <c r="D291" t="inlineStr">
        <is>
          <t>KALMAR LÄN</t>
        </is>
      </c>
      <c r="E291" t="inlineStr">
        <is>
          <t>OSKARSHAMN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7675-2024</t>
        </is>
      </c>
      <c r="B292" s="1" t="n">
        <v>45348</v>
      </c>
      <c r="C292" s="1" t="n">
        <v>46198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60237-2023</t>
        </is>
      </c>
      <c r="B293" s="1" t="n">
        <v>45258</v>
      </c>
      <c r="C293" s="1" t="n">
        <v>46198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51738-2025</t>
        </is>
      </c>
      <c r="B294" s="1" t="n">
        <v>45950</v>
      </c>
      <c r="C294" s="1" t="n">
        <v>46198</v>
      </c>
      <c r="D294" t="inlineStr">
        <is>
          <t>KALMAR LÄN</t>
        </is>
      </c>
      <c r="E294" t="inlineStr">
        <is>
          <t>OSKARSHAMN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3837-2023</t>
        </is>
      </c>
      <c r="B295" s="1" t="n">
        <v>44951</v>
      </c>
      <c r="C295" s="1" t="n">
        <v>46198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20758-2026</t>
        </is>
      </c>
      <c r="B296" s="1" t="n">
        <v>46141</v>
      </c>
      <c r="C296" s="1" t="n">
        <v>46198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20761-2026</t>
        </is>
      </c>
      <c r="B297" s="1" t="n">
        <v>46141</v>
      </c>
      <c r="C297" s="1" t="n">
        <v>46198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53215-2025</t>
        </is>
      </c>
      <c r="B298" s="1" t="n">
        <v>45957</v>
      </c>
      <c r="C298" s="1" t="n">
        <v>46198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64474-2023</t>
        </is>
      </c>
      <c r="B299" s="1" t="n">
        <v>45280</v>
      </c>
      <c r="C299" s="1" t="n">
        <v>46198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64476-2023</t>
        </is>
      </c>
      <c r="B300" s="1" t="n">
        <v>45280</v>
      </c>
      <c r="C300" s="1" t="n">
        <v>46198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53970-2025</t>
        </is>
      </c>
      <c r="B301" s="1" t="n">
        <v>45961</v>
      </c>
      <c r="C301" s="1" t="n">
        <v>46198</v>
      </c>
      <c r="D301" t="inlineStr">
        <is>
          <t>KALMAR LÄN</t>
        </is>
      </c>
      <c r="E301" t="inlineStr">
        <is>
          <t>OSKARSHAMN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20769-2026</t>
        </is>
      </c>
      <c r="B302" s="1" t="n">
        <v>46141</v>
      </c>
      <c r="C302" s="1" t="n">
        <v>46198</v>
      </c>
      <c r="D302" t="inlineStr">
        <is>
          <t>KALMAR LÄN</t>
        </is>
      </c>
      <c r="E302" t="inlineStr">
        <is>
          <t>OSKARSHAMN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54209-2025</t>
        </is>
      </c>
      <c r="B303" s="1" t="n">
        <v>45964</v>
      </c>
      <c r="C303" s="1" t="n">
        <v>46198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8846-2023</t>
        </is>
      </c>
      <c r="B304" s="1" t="n">
        <v>44978</v>
      </c>
      <c r="C304" s="1" t="n">
        <v>46198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21128-2026</t>
        </is>
      </c>
      <c r="B305" s="1" t="n">
        <v>46146</v>
      </c>
      <c r="C305" s="1" t="n">
        <v>46198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21307-2026</t>
        </is>
      </c>
      <c r="B306" s="1" t="n">
        <v>46147</v>
      </c>
      <c r="C306" s="1" t="n">
        <v>46198</v>
      </c>
      <c r="D306" t="inlineStr">
        <is>
          <t>KALMAR LÄN</t>
        </is>
      </c>
      <c r="E306" t="inlineStr">
        <is>
          <t>OSKARSHAMN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45893-2024</t>
        </is>
      </c>
      <c r="B307" s="1" t="n">
        <v>45580</v>
      </c>
      <c r="C307" s="1" t="n">
        <v>46198</v>
      </c>
      <c r="D307" t="inlineStr">
        <is>
          <t>KALMAR LÄN</t>
        </is>
      </c>
      <c r="E307" t="inlineStr">
        <is>
          <t>OSKARSHAMN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56548-2025</t>
        </is>
      </c>
      <c r="B308" s="1" t="n">
        <v>45975</v>
      </c>
      <c r="C308" s="1" t="n">
        <v>46198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21357-2026</t>
        </is>
      </c>
      <c r="B309" s="1" t="n">
        <v>46147</v>
      </c>
      <c r="C309" s="1" t="n">
        <v>46198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18349-2023</t>
        </is>
      </c>
      <c r="B310" s="1" t="n">
        <v>45041</v>
      </c>
      <c r="C310" s="1" t="n">
        <v>46198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56864-2025</t>
        </is>
      </c>
      <c r="B311" s="1" t="n">
        <v>45978</v>
      </c>
      <c r="C311" s="1" t="n">
        <v>46198</v>
      </c>
      <c r="D311" t="inlineStr">
        <is>
          <t>KALMAR LÄN</t>
        </is>
      </c>
      <c r="E311" t="inlineStr">
        <is>
          <t>OSKARSHAMN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10462-2023</t>
        </is>
      </c>
      <c r="B312" s="1" t="n">
        <v>44987</v>
      </c>
      <c r="C312" s="1" t="n">
        <v>46198</v>
      </c>
      <c r="D312" t="inlineStr">
        <is>
          <t>KALMAR LÄN</t>
        </is>
      </c>
      <c r="E312" t="inlineStr">
        <is>
          <t>OSKARSHAMN</t>
        </is>
      </c>
      <c r="F312" t="inlineStr">
        <is>
          <t>Kommuner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10102-2022</t>
        </is>
      </c>
      <c r="B313" s="1" t="n">
        <v>44621</v>
      </c>
      <c r="C313" s="1" t="n">
        <v>46198</v>
      </c>
      <c r="D313" t="inlineStr">
        <is>
          <t>KALMAR LÄN</t>
        </is>
      </c>
      <c r="E313" t="inlineStr">
        <is>
          <t>OSKARSHAMN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3601-2024</t>
        </is>
      </c>
      <c r="B314" s="1" t="n">
        <v>45320</v>
      </c>
      <c r="C314" s="1" t="n">
        <v>46198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61862-2022</t>
        </is>
      </c>
      <c r="B315" s="1" t="n">
        <v>44917</v>
      </c>
      <c r="C315" s="1" t="n">
        <v>46198</v>
      </c>
      <c r="D315" t="inlineStr">
        <is>
          <t>KALMAR LÄN</t>
        </is>
      </c>
      <c r="E315" t="inlineStr">
        <is>
          <t>OSKARSHAMN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19824-2024</t>
        </is>
      </c>
      <c r="B316" s="1" t="n">
        <v>45433</v>
      </c>
      <c r="C316" s="1" t="n">
        <v>46198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22801-2024</t>
        </is>
      </c>
      <c r="B317" s="1" t="n">
        <v>45448</v>
      </c>
      <c r="C317" s="1" t="n">
        <v>46198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11471-2024</t>
        </is>
      </c>
      <c r="B318" s="1" t="n">
        <v>45372</v>
      </c>
      <c r="C318" s="1" t="n">
        <v>46198</v>
      </c>
      <c r="D318" t="inlineStr">
        <is>
          <t>KALMAR LÄN</t>
        </is>
      </c>
      <c r="E318" t="inlineStr">
        <is>
          <t>OSKARSHAMN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72819-2021</t>
        </is>
      </c>
      <c r="B319" s="1" t="n">
        <v>44547</v>
      </c>
      <c r="C319" s="1" t="n">
        <v>46198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58479-2025</t>
        </is>
      </c>
      <c r="B320" s="1" t="n">
        <v>45985</v>
      </c>
      <c r="C320" s="1" t="n">
        <v>46198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2906-2023</t>
        </is>
      </c>
      <c r="B321" s="1" t="n">
        <v>44945</v>
      </c>
      <c r="C321" s="1" t="n">
        <v>46198</v>
      </c>
      <c r="D321" t="inlineStr">
        <is>
          <t>KALMAR LÄN</t>
        </is>
      </c>
      <c r="E321" t="inlineStr">
        <is>
          <t>OSKARSHAMN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47946-2023</t>
        </is>
      </c>
      <c r="B322" s="1" t="n">
        <v>45204</v>
      </c>
      <c r="C322" s="1" t="n">
        <v>46198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10404-2023</t>
        </is>
      </c>
      <c r="B323" s="1" t="n">
        <v>44987</v>
      </c>
      <c r="C323" s="1" t="n">
        <v>46198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58888-2025</t>
        </is>
      </c>
      <c r="B324" s="1" t="n">
        <v>45987</v>
      </c>
      <c r="C324" s="1" t="n">
        <v>46198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58616-2025</t>
        </is>
      </c>
      <c r="B325" s="1" t="n">
        <v>45986</v>
      </c>
      <c r="C325" s="1" t="n">
        <v>46198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58885-2025</t>
        </is>
      </c>
      <c r="B326" s="1" t="n">
        <v>45987</v>
      </c>
      <c r="C326" s="1" t="n">
        <v>46198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49909-2022</t>
        </is>
      </c>
      <c r="B327" s="1" t="n">
        <v>44865</v>
      </c>
      <c r="C327" s="1" t="n">
        <v>46198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59445-2025</t>
        </is>
      </c>
      <c r="B328" s="1" t="n">
        <v>45989</v>
      </c>
      <c r="C328" s="1" t="n">
        <v>46198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59449-2025</t>
        </is>
      </c>
      <c r="B329" s="1" t="n">
        <v>45989</v>
      </c>
      <c r="C329" s="1" t="n">
        <v>46198</v>
      </c>
      <c r="D329" t="inlineStr">
        <is>
          <t>KALMAR LÄN</t>
        </is>
      </c>
      <c r="E329" t="inlineStr">
        <is>
          <t>OSKARSHAMN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20334-2024</t>
        </is>
      </c>
      <c r="B330" s="1" t="n">
        <v>45435</v>
      </c>
      <c r="C330" s="1" t="n">
        <v>46198</v>
      </c>
      <c r="D330" t="inlineStr">
        <is>
          <t>KALMAR LÄN</t>
        </is>
      </c>
      <c r="E330" t="inlineStr">
        <is>
          <t>OSKARSHAMN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34086-2024</t>
        </is>
      </c>
      <c r="B331" s="1" t="n">
        <v>45523</v>
      </c>
      <c r="C331" s="1" t="n">
        <v>46198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22073-2026</t>
        </is>
      </c>
      <c r="B332" s="1" t="n">
        <v>46153</v>
      </c>
      <c r="C332" s="1" t="n">
        <v>46198</v>
      </c>
      <c r="D332" t="inlineStr">
        <is>
          <t>KALMAR LÄN</t>
        </is>
      </c>
      <c r="E332" t="inlineStr">
        <is>
          <t>OSKARSHAMN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51142-2024</t>
        </is>
      </c>
      <c r="B333" s="1" t="n">
        <v>45603</v>
      </c>
      <c r="C333" s="1" t="n">
        <v>46198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10145-2022</t>
        </is>
      </c>
      <c r="B334" s="1" t="n">
        <v>44621</v>
      </c>
      <c r="C334" s="1" t="n">
        <v>46198</v>
      </c>
      <c r="D334" t="inlineStr">
        <is>
          <t>KALMAR LÄN</t>
        </is>
      </c>
      <c r="E334" t="inlineStr">
        <is>
          <t>OSKARSHAMN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11735-2024</t>
        </is>
      </c>
      <c r="B335" s="1" t="n">
        <v>45373</v>
      </c>
      <c r="C335" s="1" t="n">
        <v>46198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27906-2023</t>
        </is>
      </c>
      <c r="B336" s="1" t="n">
        <v>45098</v>
      </c>
      <c r="C336" s="1" t="n">
        <v>46198</v>
      </c>
      <c r="D336" t="inlineStr">
        <is>
          <t>KALMAR LÄN</t>
        </is>
      </c>
      <c r="E336" t="inlineStr">
        <is>
          <t>OSKARSHAMN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48536-2023</t>
        </is>
      </c>
      <c r="B337" s="1" t="n">
        <v>45208</v>
      </c>
      <c r="C337" s="1" t="n">
        <v>46198</v>
      </c>
      <c r="D337" t="inlineStr">
        <is>
          <t>KALMAR LÄN</t>
        </is>
      </c>
      <c r="E337" t="inlineStr">
        <is>
          <t>OSKARSHAMN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28031-2026</t>
        </is>
      </c>
      <c r="B338" s="1" t="n">
        <v>46195</v>
      </c>
      <c r="C338" s="1" t="n">
        <v>46198</v>
      </c>
      <c r="D338" t="inlineStr">
        <is>
          <t>KALMAR LÄN</t>
        </is>
      </c>
      <c r="E338" t="inlineStr">
        <is>
          <t>OSKARSHAMN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9407-2023</t>
        </is>
      </c>
      <c r="B339" s="1" t="n">
        <v>44981</v>
      </c>
      <c r="C339" s="1" t="n">
        <v>46198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5898-2025</t>
        </is>
      </c>
      <c r="B340" s="1" t="n">
        <v>45695</v>
      </c>
      <c r="C340" s="1" t="n">
        <v>46198</v>
      </c>
      <c r="D340" t="inlineStr">
        <is>
          <t>KALMAR LÄN</t>
        </is>
      </c>
      <c r="E340" t="inlineStr">
        <is>
          <t>OSKARSHAMN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9253-2023</t>
        </is>
      </c>
      <c r="B341" s="1" t="n">
        <v>44980</v>
      </c>
      <c r="C341" s="1" t="n">
        <v>46198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61035-2025</t>
        </is>
      </c>
      <c r="B342" s="1" t="n">
        <v>45999</v>
      </c>
      <c r="C342" s="1" t="n">
        <v>46198</v>
      </c>
      <c r="D342" t="inlineStr">
        <is>
          <t>KALMAR LÄN</t>
        </is>
      </c>
      <c r="E342" t="inlineStr">
        <is>
          <t>OSKARSHAMN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61039-2025</t>
        </is>
      </c>
      <c r="B343" s="1" t="n">
        <v>45999</v>
      </c>
      <c r="C343" s="1" t="n">
        <v>46198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61040-2025</t>
        </is>
      </c>
      <c r="B344" s="1" t="n">
        <v>46000</v>
      </c>
      <c r="C344" s="1" t="n">
        <v>46198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61387-2025</t>
        </is>
      </c>
      <c r="B345" s="1" t="n">
        <v>46001</v>
      </c>
      <c r="C345" s="1" t="n">
        <v>46198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61389-2025</t>
        </is>
      </c>
      <c r="B346" s="1" t="n">
        <v>46001</v>
      </c>
      <c r="C346" s="1" t="n">
        <v>46198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52728-2024</t>
        </is>
      </c>
      <c r="B347" s="1" t="n">
        <v>45610</v>
      </c>
      <c r="C347" s="1" t="n">
        <v>46198</v>
      </c>
      <c r="D347" t="inlineStr">
        <is>
          <t>KALMAR LÄN</t>
        </is>
      </c>
      <c r="E347" t="inlineStr">
        <is>
          <t>OSKARSHAMN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61390-2025</t>
        </is>
      </c>
      <c r="B348" s="1" t="n">
        <v>46001</v>
      </c>
      <c r="C348" s="1" t="n">
        <v>46198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61015-2025</t>
        </is>
      </c>
      <c r="B349" s="1" t="n">
        <v>45999</v>
      </c>
      <c r="C349" s="1" t="n">
        <v>46198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61027-2025</t>
        </is>
      </c>
      <c r="B350" s="1" t="n">
        <v>45999</v>
      </c>
      <c r="C350" s="1" t="n">
        <v>46198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61037-2025</t>
        </is>
      </c>
      <c r="B351" s="1" t="n">
        <v>45999</v>
      </c>
      <c r="C351" s="1" t="n">
        <v>46198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11954-2023</t>
        </is>
      </c>
      <c r="B352" s="1" t="n">
        <v>44995</v>
      </c>
      <c r="C352" s="1" t="n">
        <v>46198</v>
      </c>
      <c r="D352" t="inlineStr">
        <is>
          <t>KALMAR LÄN</t>
        </is>
      </c>
      <c r="E352" t="inlineStr">
        <is>
          <t>OSKARSHAMN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61398-2025</t>
        </is>
      </c>
      <c r="B353" s="1" t="n">
        <v>46001</v>
      </c>
      <c r="C353" s="1" t="n">
        <v>46198</v>
      </c>
      <c r="D353" t="inlineStr">
        <is>
          <t>KALMAR LÄN</t>
        </is>
      </c>
      <c r="E353" t="inlineStr">
        <is>
          <t>OSKARSHAMN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61012-2025</t>
        </is>
      </c>
      <c r="B354" s="1" t="n">
        <v>45999</v>
      </c>
      <c r="C354" s="1" t="n">
        <v>46198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61014-2025</t>
        </is>
      </c>
      <c r="B355" s="1" t="n">
        <v>45999</v>
      </c>
      <c r="C355" s="1" t="n">
        <v>46198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61036-2025</t>
        </is>
      </c>
      <c r="B356" s="1" t="n">
        <v>45999</v>
      </c>
      <c r="C356" s="1" t="n">
        <v>46198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61038-2025</t>
        </is>
      </c>
      <c r="B357" s="1" t="n">
        <v>45999</v>
      </c>
      <c r="C357" s="1" t="n">
        <v>46198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28047-2026</t>
        </is>
      </c>
      <c r="B358" s="1" t="n">
        <v>46195</v>
      </c>
      <c r="C358" s="1" t="n">
        <v>46198</v>
      </c>
      <c r="D358" t="inlineStr">
        <is>
          <t>KALMAR LÄN</t>
        </is>
      </c>
      <c r="E358" t="inlineStr">
        <is>
          <t>OSKARSHAMN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11464-2022</t>
        </is>
      </c>
      <c r="B359" s="1" t="n">
        <v>44630</v>
      </c>
      <c r="C359" s="1" t="n">
        <v>46198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7887-2023</t>
        </is>
      </c>
      <c r="B360" s="1" t="n">
        <v>44973</v>
      </c>
      <c r="C360" s="1" t="n">
        <v>46198</v>
      </c>
      <c r="D360" t="inlineStr">
        <is>
          <t>KALMAR LÄN</t>
        </is>
      </c>
      <c r="E360" t="inlineStr">
        <is>
          <t>OSKARSHAMN</t>
        </is>
      </c>
      <c r="F360" t="inlineStr">
        <is>
          <t>Övriga Aktiebolag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4097-2024</t>
        </is>
      </c>
      <c r="B361" s="1" t="n">
        <v>45323</v>
      </c>
      <c r="C361" s="1" t="n">
        <v>46198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13012-2023</t>
        </is>
      </c>
      <c r="B362" s="1" t="n">
        <v>45002</v>
      </c>
      <c r="C362" s="1" t="n">
        <v>46198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26560-2023</t>
        </is>
      </c>
      <c r="B363" s="1" t="n">
        <v>45092</v>
      </c>
      <c r="C363" s="1" t="n">
        <v>46198</v>
      </c>
      <c r="D363" t="inlineStr">
        <is>
          <t>KALMAR LÄN</t>
        </is>
      </c>
      <c r="E363" t="inlineStr">
        <is>
          <t>OSKARSHAMN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27486-2023</t>
        </is>
      </c>
      <c r="B364" s="1" t="n">
        <v>45097</v>
      </c>
      <c r="C364" s="1" t="n">
        <v>46198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14491-2023</t>
        </is>
      </c>
      <c r="B365" s="1" t="n">
        <v>45012</v>
      </c>
      <c r="C365" s="1" t="n">
        <v>46198</v>
      </c>
      <c r="D365" t="inlineStr">
        <is>
          <t>KALMAR LÄN</t>
        </is>
      </c>
      <c r="E365" t="inlineStr">
        <is>
          <t>OSKARSHAMN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62931-2025</t>
        </is>
      </c>
      <c r="B366" s="1" t="n">
        <v>46009</v>
      </c>
      <c r="C366" s="1" t="n">
        <v>46198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46198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10725-2024</t>
        </is>
      </c>
      <c r="B368" s="1" t="n">
        <v>45369</v>
      </c>
      <c r="C368" s="1" t="n">
        <v>46198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62968-2025</t>
        </is>
      </c>
      <c r="B369" s="1" t="n">
        <v>46009</v>
      </c>
      <c r="C369" s="1" t="n">
        <v>46198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63001-2025</t>
        </is>
      </c>
      <c r="B370" s="1" t="n">
        <v>46009</v>
      </c>
      <c r="C370" s="1" t="n">
        <v>46198</v>
      </c>
      <c r="D370" t="inlineStr">
        <is>
          <t>KALMAR LÄN</t>
        </is>
      </c>
      <c r="E370" t="inlineStr">
        <is>
          <t>OSKARSHAMN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11947-2023</t>
        </is>
      </c>
      <c r="B371" s="1" t="n">
        <v>44995</v>
      </c>
      <c r="C371" s="1" t="n">
        <v>46198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40255-2022</t>
        </is>
      </c>
      <c r="B372" s="1" t="n">
        <v>44820</v>
      </c>
      <c r="C372" s="1" t="n">
        <v>46198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28120-2023</t>
        </is>
      </c>
      <c r="B373" s="1" t="n">
        <v>45099</v>
      </c>
      <c r="C373" s="1" t="n">
        <v>46198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61854-2022</t>
        </is>
      </c>
      <c r="B374" s="1" t="n">
        <v>44917</v>
      </c>
      <c r="C374" s="1" t="n">
        <v>46198</v>
      </c>
      <c r="D374" t="inlineStr">
        <is>
          <t>KALMAR LÄN</t>
        </is>
      </c>
      <c r="E374" t="inlineStr">
        <is>
          <t>OSKARSHAMN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28487-2026</t>
        </is>
      </c>
      <c r="B375" s="1" t="n">
        <v>46197</v>
      </c>
      <c r="C375" s="1" t="n">
        <v>46198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46613-2023</t>
        </is>
      </c>
      <c r="B376" s="1" t="n">
        <v>45198</v>
      </c>
      <c r="C376" s="1" t="n">
        <v>46198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61318-2022</t>
        </is>
      </c>
      <c r="B377" s="1" t="n">
        <v>44915</v>
      </c>
      <c r="C377" s="1" t="n">
        <v>46198</v>
      </c>
      <c r="D377" t="inlineStr">
        <is>
          <t>KALMAR LÄN</t>
        </is>
      </c>
      <c r="E377" t="inlineStr">
        <is>
          <t>OSKARSHAMN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35534-2024</t>
        </is>
      </c>
      <c r="B378" s="1" t="n">
        <v>45531</v>
      </c>
      <c r="C378" s="1" t="n">
        <v>46198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29021-2022</t>
        </is>
      </c>
      <c r="B379" s="1" t="n">
        <v>44749</v>
      </c>
      <c r="C379" s="1" t="n">
        <v>46198</v>
      </c>
      <c r="D379" t="inlineStr">
        <is>
          <t>KALMAR LÄN</t>
        </is>
      </c>
      <c r="E379" t="inlineStr">
        <is>
          <t>OSKARSHAMN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10089-2022</t>
        </is>
      </c>
      <c r="B380" s="1" t="n">
        <v>44621</v>
      </c>
      <c r="C380" s="1" t="n">
        <v>46198</v>
      </c>
      <c r="D380" t="inlineStr">
        <is>
          <t>KALMAR LÄN</t>
        </is>
      </c>
      <c r="E380" t="inlineStr">
        <is>
          <t>OSKARSHAMN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22889-2024</t>
        </is>
      </c>
      <c r="B381" s="1" t="n">
        <v>45448</v>
      </c>
      <c r="C381" s="1" t="n">
        <v>46198</v>
      </c>
      <c r="D381" t="inlineStr">
        <is>
          <t>KALMAR LÄN</t>
        </is>
      </c>
      <c r="E381" t="inlineStr">
        <is>
          <t>OSKARSHAMN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30218-2023</t>
        </is>
      </c>
      <c r="B382" s="1" t="n">
        <v>45110</v>
      </c>
      <c r="C382" s="1" t="n">
        <v>46198</v>
      </c>
      <c r="D382" t="inlineStr">
        <is>
          <t>KALMAR LÄN</t>
        </is>
      </c>
      <c r="E382" t="inlineStr">
        <is>
          <t>OSKARSHAMN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10728-2024</t>
        </is>
      </c>
      <c r="B383" s="1" t="n">
        <v>45369</v>
      </c>
      <c r="C383" s="1" t="n">
        <v>46198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23200-2023</t>
        </is>
      </c>
      <c r="B384" s="1" t="n">
        <v>45075</v>
      </c>
      <c r="C384" s="1" t="n">
        <v>46198</v>
      </c>
      <c r="D384" t="inlineStr">
        <is>
          <t>KALMAR LÄN</t>
        </is>
      </c>
      <c r="E384" t="inlineStr">
        <is>
          <t>OSKARSHAMN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29346-2024</t>
        </is>
      </c>
      <c r="B385" s="1" t="n">
        <v>45483</v>
      </c>
      <c r="C385" s="1" t="n">
        <v>46198</v>
      </c>
      <c r="D385" t="inlineStr">
        <is>
          <t>KALMAR LÄN</t>
        </is>
      </c>
      <c r="E385" t="inlineStr">
        <is>
          <t>OSKARSHAMN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5899-2025</t>
        </is>
      </c>
      <c r="B386" s="1" t="n">
        <v>45695</v>
      </c>
      <c r="C386" s="1" t="n">
        <v>46198</v>
      </c>
      <c r="D386" t="inlineStr">
        <is>
          <t>KALMAR LÄN</t>
        </is>
      </c>
      <c r="E386" t="inlineStr">
        <is>
          <t>OSKARSHAMN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5900-2025</t>
        </is>
      </c>
      <c r="B387" s="1" t="n">
        <v>45695</v>
      </c>
      <c r="C387" s="1" t="n">
        <v>46198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28375-2026</t>
        </is>
      </c>
      <c r="B388" s="1" t="n">
        <v>46196</v>
      </c>
      <c r="C388" s="1" t="n">
        <v>46198</v>
      </c>
      <c r="D388" t="inlineStr">
        <is>
          <t>KALMAR LÄN</t>
        </is>
      </c>
      <c r="E388" t="inlineStr">
        <is>
          <t>OSKARSHAMN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42831-2023</t>
        </is>
      </c>
      <c r="B389" s="1" t="n">
        <v>45182</v>
      </c>
      <c r="C389" s="1" t="n">
        <v>46198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73404-2021</t>
        </is>
      </c>
      <c r="B390" s="1" t="n">
        <v>44551</v>
      </c>
      <c r="C390" s="1" t="n">
        <v>46198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54633-2024</t>
        </is>
      </c>
      <c r="B391" s="1" t="n">
        <v>45617</v>
      </c>
      <c r="C391" s="1" t="n">
        <v>46198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30230-2023</t>
        </is>
      </c>
      <c r="B392" s="1" t="n">
        <v>45110</v>
      </c>
      <c r="C392" s="1" t="n">
        <v>46198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46198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43165-2024</t>
        </is>
      </c>
      <c r="B394" s="1" t="n">
        <v>45567</v>
      </c>
      <c r="C394" s="1" t="n">
        <v>46198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72786-2021</t>
        </is>
      </c>
      <c r="B395" s="1" t="n">
        <v>44547</v>
      </c>
      <c r="C395" s="1" t="n">
        <v>46198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16186-2024</t>
        </is>
      </c>
      <c r="B396" s="1" t="n">
        <v>45406</v>
      </c>
      <c r="C396" s="1" t="n">
        <v>46198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16280-2024</t>
        </is>
      </c>
      <c r="B397" s="1" t="n">
        <v>45407</v>
      </c>
      <c r="C397" s="1" t="n">
        <v>46198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20417-2023</t>
        </is>
      </c>
      <c r="B398" s="1" t="n">
        <v>45056</v>
      </c>
      <c r="C398" s="1" t="n">
        <v>46198</v>
      </c>
      <c r="D398" t="inlineStr">
        <is>
          <t>KALMAR LÄN</t>
        </is>
      </c>
      <c r="E398" t="inlineStr">
        <is>
          <t>OSKARSHAMN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60717-2024</t>
        </is>
      </c>
      <c r="B399" s="1" t="n">
        <v>45644</v>
      </c>
      <c r="C399" s="1" t="n">
        <v>46198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25936-2023</t>
        </is>
      </c>
      <c r="B400" s="1" t="n">
        <v>45090</v>
      </c>
      <c r="C400" s="1" t="n">
        <v>46198</v>
      </c>
      <c r="D400" t="inlineStr">
        <is>
          <t>KALMAR LÄN</t>
        </is>
      </c>
      <c r="E400" t="inlineStr">
        <is>
          <t>OSKARSHAMN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49963-2023</t>
        </is>
      </c>
      <c r="B401" s="1" t="n">
        <v>45215</v>
      </c>
      <c r="C401" s="1" t="n">
        <v>46198</v>
      </c>
      <c r="D401" t="inlineStr">
        <is>
          <t>KALMAR LÄN</t>
        </is>
      </c>
      <c r="E401" t="inlineStr">
        <is>
          <t>OSKARSHAMN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3461-2026</t>
        </is>
      </c>
      <c r="B402" s="1" t="n">
        <v>46042</v>
      </c>
      <c r="C402" s="1" t="n">
        <v>46198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4427-2026</t>
        </is>
      </c>
      <c r="B403" s="1" t="n">
        <v>46045</v>
      </c>
      <c r="C403" s="1" t="n">
        <v>46198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29755-2022</t>
        </is>
      </c>
      <c r="B404" s="1" t="n">
        <v>44755</v>
      </c>
      <c r="C404" s="1" t="n">
        <v>46198</v>
      </c>
      <c r="D404" t="inlineStr">
        <is>
          <t>KALMAR LÄN</t>
        </is>
      </c>
      <c r="E404" t="inlineStr">
        <is>
          <t>OSKARSHAMN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50572-2024</t>
        </is>
      </c>
      <c r="B405" s="1" t="n">
        <v>45601</v>
      </c>
      <c r="C405" s="1" t="n">
        <v>46198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30942-2023</t>
        </is>
      </c>
      <c r="B406" s="1" t="n">
        <v>45113</v>
      </c>
      <c r="C406" s="1" t="n">
        <v>46198</v>
      </c>
      <c r="D406" t="inlineStr">
        <is>
          <t>KALMAR LÄN</t>
        </is>
      </c>
      <c r="E406" t="inlineStr">
        <is>
          <t>OSKARSHAMN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56189-2023</t>
        </is>
      </c>
      <c r="B407" s="1" t="n">
        <v>45240</v>
      </c>
      <c r="C407" s="1" t="n">
        <v>46198</v>
      </c>
      <c r="D407" t="inlineStr">
        <is>
          <t>KALMAR LÄN</t>
        </is>
      </c>
      <c r="E407" t="inlineStr">
        <is>
          <t>OSKARSHAMN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5195-2026</t>
        </is>
      </c>
      <c r="B408" s="1" t="n">
        <v>46049</v>
      </c>
      <c r="C408" s="1" t="n">
        <v>46198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4651-2025</t>
        </is>
      </c>
      <c r="B409" s="1" t="n">
        <v>45687</v>
      </c>
      <c r="C409" s="1" t="n">
        <v>46198</v>
      </c>
      <c r="D409" t="inlineStr">
        <is>
          <t>KALMAR LÄN</t>
        </is>
      </c>
      <c r="E409" t="inlineStr">
        <is>
          <t>OSKARSHAMN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5555-2026</t>
        </is>
      </c>
      <c r="B410" s="1" t="n">
        <v>46050</v>
      </c>
      <c r="C410" s="1" t="n">
        <v>46198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59710-2021</t>
        </is>
      </c>
      <c r="B411" s="1" t="n">
        <v>44494</v>
      </c>
      <c r="C411" s="1" t="n">
        <v>46198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53530-2022</t>
        </is>
      </c>
      <c r="B412" s="1" t="n">
        <v>44879</v>
      </c>
      <c r="C412" s="1" t="n">
        <v>46198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62995-2025</t>
        </is>
      </c>
      <c r="B413" s="1" t="n">
        <v>46009</v>
      </c>
      <c r="C413" s="1" t="n">
        <v>46198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34827-2024</t>
        </is>
      </c>
      <c r="B414" s="1" t="n">
        <v>45526</v>
      </c>
      <c r="C414" s="1" t="n">
        <v>46198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3830-2023</t>
        </is>
      </c>
      <c r="B415" s="1" t="n">
        <v>44951</v>
      </c>
      <c r="C415" s="1" t="n">
        <v>46198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7299-2026</t>
        </is>
      </c>
      <c r="B416" s="1" t="n">
        <v>46058</v>
      </c>
      <c r="C416" s="1" t="n">
        <v>46198</v>
      </c>
      <c r="D416" t="inlineStr">
        <is>
          <t>KALMAR LÄN</t>
        </is>
      </c>
      <c r="E416" t="inlineStr">
        <is>
          <t>OSKARSHAMN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7313-2026</t>
        </is>
      </c>
      <c r="B417" s="1" t="n">
        <v>46058</v>
      </c>
      <c r="C417" s="1" t="n">
        <v>46198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7319-2026</t>
        </is>
      </c>
      <c r="B418" s="1" t="n">
        <v>46058</v>
      </c>
      <c r="C418" s="1" t="n">
        <v>46198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61122-2022</t>
        </is>
      </c>
      <c r="B419" s="1" t="n">
        <v>44908</v>
      </c>
      <c r="C419" s="1" t="n">
        <v>46198</v>
      </c>
      <c r="D419" t="inlineStr">
        <is>
          <t>KALMAR LÄN</t>
        </is>
      </c>
      <c r="E419" t="inlineStr">
        <is>
          <t>OSKARSHAMN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7449-2026</t>
        </is>
      </c>
      <c r="B420" s="1" t="n">
        <v>46059</v>
      </c>
      <c r="C420" s="1" t="n">
        <v>46198</v>
      </c>
      <c r="D420" t="inlineStr">
        <is>
          <t>KALMAR LÄN</t>
        </is>
      </c>
      <c r="E420" t="inlineStr">
        <is>
          <t>OSKARSHAMN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6815-2025</t>
        </is>
      </c>
      <c r="B421" s="1" t="n">
        <v>45700</v>
      </c>
      <c r="C421" s="1" t="n">
        <v>46198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9034-2026</t>
        </is>
      </c>
      <c r="B422" s="1" t="n">
        <v>46069</v>
      </c>
      <c r="C422" s="1" t="n">
        <v>46198</v>
      </c>
      <c r="D422" t="inlineStr">
        <is>
          <t>KALMAR LÄN</t>
        </is>
      </c>
      <c r="E422" t="inlineStr">
        <is>
          <t>OSKARSHAMN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9101-2026</t>
        </is>
      </c>
      <c r="B423" s="1" t="n">
        <v>46069</v>
      </c>
      <c r="C423" s="1" t="n">
        <v>46198</v>
      </c>
      <c r="D423" t="inlineStr">
        <is>
          <t>KALMAR LÄN</t>
        </is>
      </c>
      <c r="E423" t="inlineStr">
        <is>
          <t>OSKARSHAMN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22543-2022</t>
        </is>
      </c>
      <c r="B424" s="1" t="n">
        <v>44713</v>
      </c>
      <c r="C424" s="1" t="n">
        <v>46198</v>
      </c>
      <c r="D424" t="inlineStr">
        <is>
          <t>KALMAR LÄN</t>
        </is>
      </c>
      <c r="E424" t="inlineStr">
        <is>
          <t>OSKARSHAMN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5103-2025</t>
        </is>
      </c>
      <c r="B425" s="1" t="n">
        <v>45691</v>
      </c>
      <c r="C425" s="1" t="n">
        <v>46198</v>
      </c>
      <c r="D425" t="inlineStr">
        <is>
          <t>KALMAR LÄN</t>
        </is>
      </c>
      <c r="E425" t="inlineStr">
        <is>
          <t>OSKARSHAMN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26132-2023</t>
        </is>
      </c>
      <c r="B426" s="1" t="n">
        <v>45091</v>
      </c>
      <c r="C426" s="1" t="n">
        <v>46198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6892-2025</t>
        </is>
      </c>
      <c r="B427" s="1" t="n">
        <v>45701</v>
      </c>
      <c r="C427" s="1" t="n">
        <v>46198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58095-2022</t>
        </is>
      </c>
      <c r="B428" s="1" t="n">
        <v>44900</v>
      </c>
      <c r="C428" s="1" t="n">
        <v>46198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6670-2024</t>
        </is>
      </c>
      <c r="B429" s="1" t="n">
        <v>45341</v>
      </c>
      <c r="C429" s="1" t="n">
        <v>46198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71342-2021</t>
        </is>
      </c>
      <c r="B430" s="1" t="n">
        <v>44539</v>
      </c>
      <c r="C430" s="1" t="n">
        <v>46198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21921-2022</t>
        </is>
      </c>
      <c r="B431" s="1" t="n">
        <v>44711</v>
      </c>
      <c r="C431" s="1" t="n">
        <v>46198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7962-2022</t>
        </is>
      </c>
      <c r="B432" s="1" t="n">
        <v>44608</v>
      </c>
      <c r="C432" s="1" t="n">
        <v>46198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10630-2022</t>
        </is>
      </c>
      <c r="B433" s="1" t="n">
        <v>44624</v>
      </c>
      <c r="C433" s="1" t="n">
        <v>46198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59699-2023</t>
        </is>
      </c>
      <c r="B434" s="1" t="n">
        <v>45256</v>
      </c>
      <c r="C434" s="1" t="n">
        <v>46198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37894-2021</t>
        </is>
      </c>
      <c r="B435" s="1" t="n">
        <v>44403</v>
      </c>
      <c r="C435" s="1" t="n">
        <v>46198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45841-2023</t>
        </is>
      </c>
      <c r="B436" s="1" t="n">
        <v>45195</v>
      </c>
      <c r="C436" s="1" t="n">
        <v>46198</v>
      </c>
      <c r="D436" t="inlineStr">
        <is>
          <t>KALMAR LÄN</t>
        </is>
      </c>
      <c r="E436" t="inlineStr">
        <is>
          <t>OSKARSHAMN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9919-2022</t>
        </is>
      </c>
      <c r="B437" s="1" t="n">
        <v>44620</v>
      </c>
      <c r="C437" s="1" t="n">
        <v>46198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12764-2026</t>
        </is>
      </c>
      <c r="B438" s="1" t="n">
        <v>46091</v>
      </c>
      <c r="C438" s="1" t="n">
        <v>46198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51383-2021</t>
        </is>
      </c>
      <c r="B439" s="1" t="n">
        <v>44461</v>
      </c>
      <c r="C439" s="1" t="n">
        <v>46198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47934-2023</t>
        </is>
      </c>
      <c r="B440" s="1" t="n">
        <v>45204</v>
      </c>
      <c r="C440" s="1" t="n">
        <v>46198</v>
      </c>
      <c r="D440" t="inlineStr">
        <is>
          <t>KALMAR LÄN</t>
        </is>
      </c>
      <c r="E440" t="inlineStr">
        <is>
          <t>OSKARSHAMN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12556-2024</t>
        </is>
      </c>
      <c r="B441" s="1" t="n">
        <v>45379</v>
      </c>
      <c r="C441" s="1" t="n">
        <v>46198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13090-2026</t>
        </is>
      </c>
      <c r="B442" s="1" t="n">
        <v>46093</v>
      </c>
      <c r="C442" s="1" t="n">
        <v>46198</v>
      </c>
      <c r="D442" t="inlineStr">
        <is>
          <t>KALMAR LÄN</t>
        </is>
      </c>
      <c r="E442" t="inlineStr">
        <is>
          <t>OSKARSHAMN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13976-2026</t>
        </is>
      </c>
      <c r="B443" s="1" t="n">
        <v>46098</v>
      </c>
      <c r="C443" s="1" t="n">
        <v>46198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14116-2026</t>
        </is>
      </c>
      <c r="B444" s="1" t="n">
        <v>46099</v>
      </c>
      <c r="C444" s="1" t="n">
        <v>46198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41536-2024</t>
        </is>
      </c>
      <c r="B445" s="1" t="n">
        <v>45560</v>
      </c>
      <c r="C445" s="1" t="n">
        <v>46198</v>
      </c>
      <c r="D445" t="inlineStr">
        <is>
          <t>KALMAR LÄN</t>
        </is>
      </c>
      <c r="E445" t="inlineStr">
        <is>
          <t>OSKARSHAMN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15525-2026</t>
        </is>
      </c>
      <c r="B446" s="1" t="n">
        <v>46106</v>
      </c>
      <c r="C446" s="1" t="n">
        <v>46198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15316-2026</t>
        </is>
      </c>
      <c r="B447" s="1" t="n">
        <v>46105</v>
      </c>
      <c r="C447" s="1" t="n">
        <v>46198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13204-2024</t>
        </is>
      </c>
      <c r="B448" s="1" t="n">
        <v>45386</v>
      </c>
      <c r="C448" s="1" t="n">
        <v>46198</v>
      </c>
      <c r="D448" t="inlineStr">
        <is>
          <t>KALMAR LÄN</t>
        </is>
      </c>
      <c r="E448" t="inlineStr">
        <is>
          <t>OSKARSHAMN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15304-2026</t>
        </is>
      </c>
      <c r="B449" s="1" t="n">
        <v>46105</v>
      </c>
      <c r="C449" s="1" t="n">
        <v>46198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15310-2026</t>
        </is>
      </c>
      <c r="B450" s="1" t="n">
        <v>46105</v>
      </c>
      <c r="C450" s="1" t="n">
        <v>46198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55985-2023</t>
        </is>
      </c>
      <c r="B451" s="1" t="n">
        <v>45240</v>
      </c>
      <c r="C451" s="1" t="n">
        <v>46198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5106-2025</t>
        </is>
      </c>
      <c r="B452" s="1" t="n">
        <v>45691</v>
      </c>
      <c r="C452" s="1" t="n">
        <v>46198</v>
      </c>
      <c r="D452" t="inlineStr">
        <is>
          <t>KALMAR LÄN</t>
        </is>
      </c>
      <c r="E452" t="inlineStr">
        <is>
          <t>OSKARSHAMN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46198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40177-2023</t>
        </is>
      </c>
      <c r="B454" s="1" t="n">
        <v>45169</v>
      </c>
      <c r="C454" s="1" t="n">
        <v>46198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44585</v>
      </c>
      <c r="C455" s="1" t="n">
        <v>46198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11450-2024</t>
        </is>
      </c>
      <c r="B456" s="1" t="n">
        <v>45372</v>
      </c>
      <c r="C456" s="1" t="n">
        <v>46198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17044-2026</t>
        </is>
      </c>
      <c r="B457" s="1" t="n">
        <v>46114</v>
      </c>
      <c r="C457" s="1" t="n">
        <v>46198</v>
      </c>
      <c r="D457" t="inlineStr">
        <is>
          <t>KALMAR LÄN</t>
        </is>
      </c>
      <c r="E457" t="inlineStr">
        <is>
          <t>OSKARSHAMN</t>
        </is>
      </c>
      <c r="F457" t="inlineStr">
        <is>
          <t>Kommuner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17047-2026</t>
        </is>
      </c>
      <c r="B458" s="1" t="n">
        <v>46114</v>
      </c>
      <c r="C458" s="1" t="n">
        <v>46198</v>
      </c>
      <c r="D458" t="inlineStr">
        <is>
          <t>KALMAR LÄN</t>
        </is>
      </c>
      <c r="E458" t="inlineStr">
        <is>
          <t>OSKARSHAMN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3356-2024</t>
        </is>
      </c>
      <c r="B459" s="1" t="n">
        <v>45317</v>
      </c>
      <c r="C459" s="1" t="n">
        <v>46198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50169-2022</t>
        </is>
      </c>
      <c r="B460" s="1" t="n">
        <v>44865</v>
      </c>
      <c r="C460" s="1" t="n">
        <v>46198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20413-2023</t>
        </is>
      </c>
      <c r="B461" s="1" t="n">
        <v>45056</v>
      </c>
      <c r="C461" s="1" t="n">
        <v>46198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46977-2021</t>
        </is>
      </c>
      <c r="B462" s="1" t="n">
        <v>44446</v>
      </c>
      <c r="C462" s="1" t="n">
        <v>46198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17603-2026</t>
        </is>
      </c>
      <c r="B463" s="1" t="n">
        <v>46121</v>
      </c>
      <c r="C463" s="1" t="n">
        <v>46198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22818-2024</t>
        </is>
      </c>
      <c r="B464" s="1" t="n">
        <v>45448</v>
      </c>
      <c r="C464" s="1" t="n">
        <v>46198</v>
      </c>
      <c r="D464" t="inlineStr">
        <is>
          <t>KALMAR LÄN</t>
        </is>
      </c>
      <c r="E464" t="inlineStr">
        <is>
          <t>OSKARSHAMN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22855-2024</t>
        </is>
      </c>
      <c r="B465" s="1" t="n">
        <v>45448</v>
      </c>
      <c r="C465" s="1" t="n">
        <v>46198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14949-2023</t>
        </is>
      </c>
      <c r="B466" s="1" t="n">
        <v>45015</v>
      </c>
      <c r="C466" s="1" t="n">
        <v>46198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5056-2024</t>
        </is>
      </c>
      <c r="B467" s="1" t="n">
        <v>45329</v>
      </c>
      <c r="C467" s="1" t="n">
        <v>46198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18313-2026</t>
        </is>
      </c>
      <c r="B468" s="1" t="n">
        <v>46126</v>
      </c>
      <c r="C468" s="1" t="n">
        <v>46198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55995-2023</t>
        </is>
      </c>
      <c r="B469" s="1" t="n">
        <v>45240</v>
      </c>
      <c r="C469" s="1" t="n">
        <v>46198</v>
      </c>
      <c r="D469" t="inlineStr">
        <is>
          <t>KALMAR LÄN</t>
        </is>
      </c>
      <c r="E469" t="inlineStr">
        <is>
          <t>OSKARSHAMN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55999-2023</t>
        </is>
      </c>
      <c r="B470" s="1" t="n">
        <v>45240</v>
      </c>
      <c r="C470" s="1" t="n">
        <v>46198</v>
      </c>
      <c r="D470" t="inlineStr">
        <is>
          <t>KALMAR LÄN</t>
        </is>
      </c>
      <c r="E470" t="inlineStr">
        <is>
          <t>OSKARSHAMN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58910-2023</t>
        </is>
      </c>
      <c r="B471" s="1" t="n">
        <v>45252</v>
      </c>
      <c r="C471" s="1" t="n">
        <v>46198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57885-2023</t>
        </is>
      </c>
      <c r="B472" s="1" t="n">
        <v>45244</v>
      </c>
      <c r="C472" s="1" t="n">
        <v>46198</v>
      </c>
      <c r="D472" t="inlineStr">
        <is>
          <t>KALMAR LÄN</t>
        </is>
      </c>
      <c r="E472" t="inlineStr">
        <is>
          <t>OSKARSHAMN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18455-2026</t>
        </is>
      </c>
      <c r="B473" s="1" t="n">
        <v>46127</v>
      </c>
      <c r="C473" s="1" t="n">
        <v>46198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24391-2026</t>
        </is>
      </c>
      <c r="B474" s="1" t="n">
        <v>46169</v>
      </c>
      <c r="C474" s="1" t="n">
        <v>46198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24651-2026</t>
        </is>
      </c>
      <c r="B475" s="1" t="n">
        <v>46171</v>
      </c>
      <c r="C475" s="1" t="n">
        <v>46198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27919-2023</t>
        </is>
      </c>
      <c r="B476" s="1" t="n">
        <v>45098</v>
      </c>
      <c r="C476" s="1" t="n">
        <v>46198</v>
      </c>
      <c r="D476" t="inlineStr">
        <is>
          <t>KALMAR LÄN</t>
        </is>
      </c>
      <c r="E476" t="inlineStr">
        <is>
          <t>OSKARSHAMN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51766-2024</t>
        </is>
      </c>
      <c r="B477" s="1" t="n">
        <v>45604</v>
      </c>
      <c r="C477" s="1" t="n">
        <v>46198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18978-2026</t>
        </is>
      </c>
      <c r="B478" s="1" t="n">
        <v>46128</v>
      </c>
      <c r="C478" s="1" t="n">
        <v>46198</v>
      </c>
      <c r="D478" t="inlineStr">
        <is>
          <t>KALMAR LÄN</t>
        </is>
      </c>
      <c r="E478" t="inlineStr">
        <is>
          <t>OSKARSHAMN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45898-2024</t>
        </is>
      </c>
      <c r="B479" s="1" t="n">
        <v>45580</v>
      </c>
      <c r="C479" s="1" t="n">
        <v>46198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12098-2024</t>
        </is>
      </c>
      <c r="B480" s="1" t="n">
        <v>45377</v>
      </c>
      <c r="C480" s="1" t="n">
        <v>46198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18739-2026</t>
        </is>
      </c>
      <c r="B481" s="1" t="n">
        <v>46128</v>
      </c>
      <c r="C481" s="1" t="n">
        <v>46198</v>
      </c>
      <c r="D481" t="inlineStr">
        <is>
          <t>KALMAR LÄN</t>
        </is>
      </c>
      <c r="E481" t="inlineStr">
        <is>
          <t>OSKARSHAMN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56576-2024</t>
        </is>
      </c>
      <c r="B482" s="1" t="n">
        <v>45625</v>
      </c>
      <c r="C482" s="1" t="n">
        <v>46198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24679-2026</t>
        </is>
      </c>
      <c r="B483" s="1" t="n">
        <v>46171</v>
      </c>
      <c r="C483" s="1" t="n">
        <v>46198</v>
      </c>
      <c r="D483" t="inlineStr">
        <is>
          <t>KALMAR LÄN</t>
        </is>
      </c>
      <c r="E483" t="inlineStr">
        <is>
          <t>OSKARSHAMN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46198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19420-2026</t>
        </is>
      </c>
      <c r="B485" s="1" t="n">
        <v>46129</v>
      </c>
      <c r="C485" s="1" t="n">
        <v>46198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13072-2024</t>
        </is>
      </c>
      <c r="B486" s="1" t="n">
        <v>45385</v>
      </c>
      <c r="C486" s="1" t="n">
        <v>46198</v>
      </c>
      <c r="D486" t="inlineStr">
        <is>
          <t>KALMAR LÄN</t>
        </is>
      </c>
      <c r="E486" t="inlineStr">
        <is>
          <t>OSKARSHAMN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25134-2026</t>
        </is>
      </c>
      <c r="B487" s="1" t="n">
        <v>46175</v>
      </c>
      <c r="C487" s="1" t="n">
        <v>46198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51009-2023</t>
        </is>
      </c>
      <c r="B488" s="1" t="n">
        <v>45218</v>
      </c>
      <c r="C488" s="1" t="n">
        <v>46198</v>
      </c>
      <c r="D488" t="inlineStr">
        <is>
          <t>KALMAR LÄN</t>
        </is>
      </c>
      <c r="E488" t="inlineStr">
        <is>
          <t>OSKARSHAMN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26433-2023</t>
        </is>
      </c>
      <c r="B489" s="1" t="n">
        <v>45092</v>
      </c>
      <c r="C489" s="1" t="n">
        <v>46198</v>
      </c>
      <c r="D489" t="inlineStr">
        <is>
          <t>KALMAR LÄN</t>
        </is>
      </c>
      <c r="E489" t="inlineStr">
        <is>
          <t>OSKARSHAMN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17179-2023</t>
        </is>
      </c>
      <c r="B490" s="1" t="n">
        <v>45034</v>
      </c>
      <c r="C490" s="1" t="n">
        <v>46198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30273-2024</t>
        </is>
      </c>
      <c r="B491" s="1" t="n">
        <v>45490</v>
      </c>
      <c r="C491" s="1" t="n">
        <v>46198</v>
      </c>
      <c r="D491" t="inlineStr">
        <is>
          <t>KALMAR LÄN</t>
        </is>
      </c>
      <c r="E491" t="inlineStr">
        <is>
          <t>OSKARSHAMN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51076-2024</t>
        </is>
      </c>
      <c r="B492" s="1" t="n">
        <v>45603</v>
      </c>
      <c r="C492" s="1" t="n">
        <v>46198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25612-2026</t>
        </is>
      </c>
      <c r="B493" s="1" t="n">
        <v>46177</v>
      </c>
      <c r="C493" s="1" t="n">
        <v>46198</v>
      </c>
      <c r="D493" t="inlineStr">
        <is>
          <t>KALMAR LÄN</t>
        </is>
      </c>
      <c r="E493" t="inlineStr">
        <is>
          <t>OSKARSHAMN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59002-2021</t>
        </is>
      </c>
      <c r="B494" s="1" t="n">
        <v>44490</v>
      </c>
      <c r="C494" s="1" t="n">
        <v>46198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32937-2023</t>
        </is>
      </c>
      <c r="B495" s="1" t="n">
        <v>45113</v>
      </c>
      <c r="C495" s="1" t="n">
        <v>46198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21285-2026</t>
        </is>
      </c>
      <c r="B496" s="1" t="n">
        <v>46147</v>
      </c>
      <c r="C496" s="1" t="n">
        <v>46198</v>
      </c>
      <c r="D496" t="inlineStr">
        <is>
          <t>KALMAR LÄN</t>
        </is>
      </c>
      <c r="E496" t="inlineStr">
        <is>
          <t>OSKARSHAMN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10424-2025</t>
        </is>
      </c>
      <c r="B497" s="1" t="n">
        <v>45720</v>
      </c>
      <c r="C497" s="1" t="n">
        <v>46198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33461-2024</t>
        </is>
      </c>
      <c r="B498" s="1" t="n">
        <v>45519</v>
      </c>
      <c r="C498" s="1" t="n">
        <v>46198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11473-2024</t>
        </is>
      </c>
      <c r="B499" s="1" t="n">
        <v>45372</v>
      </c>
      <c r="C499" s="1" t="n">
        <v>46198</v>
      </c>
      <c r="D499" t="inlineStr">
        <is>
          <t>KALMAR LÄN</t>
        </is>
      </c>
      <c r="E499" t="inlineStr">
        <is>
          <t>OSKARSHAMN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14475-2023</t>
        </is>
      </c>
      <c r="B500" s="1" t="n">
        <v>45012</v>
      </c>
      <c r="C500" s="1" t="n">
        <v>46198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35544-2024</t>
        </is>
      </c>
      <c r="B501" s="1" t="n">
        <v>45531</v>
      </c>
      <c r="C501" s="1" t="n">
        <v>46198</v>
      </c>
      <c r="D501" t="inlineStr">
        <is>
          <t>KALMAR LÄN</t>
        </is>
      </c>
      <c r="E501" t="inlineStr">
        <is>
          <t>OSKARSHAMN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27827-2023</t>
        </is>
      </c>
      <c r="B502" s="1" t="n">
        <v>45098</v>
      </c>
      <c r="C502" s="1" t="n">
        <v>46198</v>
      </c>
      <c r="D502" t="inlineStr">
        <is>
          <t>KALMAR LÄN</t>
        </is>
      </c>
      <c r="E502" t="inlineStr">
        <is>
          <t>OSKARSHAMN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62322-2023</t>
        </is>
      </c>
      <c r="B503" s="1" t="n">
        <v>45267</v>
      </c>
      <c r="C503" s="1" t="n">
        <v>46198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13778-2024</t>
        </is>
      </c>
      <c r="B504" s="1" t="n">
        <v>45391</v>
      </c>
      <c r="C504" s="1" t="n">
        <v>46198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30281-2024</t>
        </is>
      </c>
      <c r="B505" s="1" t="n">
        <v>45490</v>
      </c>
      <c r="C505" s="1" t="n">
        <v>46198</v>
      </c>
      <c r="D505" t="inlineStr">
        <is>
          <t>KALMAR LÄN</t>
        </is>
      </c>
      <c r="E505" t="inlineStr">
        <is>
          <t>OSKARSHAMN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9275-2023</t>
        </is>
      </c>
      <c r="B506" s="1" t="n">
        <v>44980</v>
      </c>
      <c r="C506" s="1" t="n">
        <v>46198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29145-2023</t>
        </is>
      </c>
      <c r="B507" s="1" t="n">
        <v>45105</v>
      </c>
      <c r="C507" s="1" t="n">
        <v>46198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27143-2023</t>
        </is>
      </c>
      <c r="B508" s="1" t="n">
        <v>45096</v>
      </c>
      <c r="C508" s="1" t="n">
        <v>46198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18346-2023</t>
        </is>
      </c>
      <c r="B509" s="1" t="n">
        <v>45041</v>
      </c>
      <c r="C509" s="1" t="n">
        <v>46198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2587-2023</t>
        </is>
      </c>
      <c r="B510" s="1" t="n">
        <v>44943</v>
      </c>
      <c r="C510" s="1" t="n">
        <v>46198</v>
      </c>
      <c r="D510" t="inlineStr">
        <is>
          <t>KALMAR LÄN</t>
        </is>
      </c>
      <c r="E510" t="inlineStr">
        <is>
          <t>OSKARSHAMN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15953-2024</t>
        </is>
      </c>
      <c r="B511" s="1" t="n">
        <v>45405</v>
      </c>
      <c r="C511" s="1" t="n">
        <v>46198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15954-2024</t>
        </is>
      </c>
      <c r="B512" s="1" t="n">
        <v>45405</v>
      </c>
      <c r="C512" s="1" t="n">
        <v>46198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35541-2024</t>
        </is>
      </c>
      <c r="B513" s="1" t="n">
        <v>45531</v>
      </c>
      <c r="C513" s="1" t="n">
        <v>46198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50922-2022</t>
        </is>
      </c>
      <c r="B514" s="1" t="n">
        <v>44865</v>
      </c>
      <c r="C514" s="1" t="n">
        <v>46198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60232-2023</t>
        </is>
      </c>
      <c r="B515" s="1" t="n">
        <v>45258</v>
      </c>
      <c r="C515" s="1" t="n">
        <v>46198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37126-2024</t>
        </is>
      </c>
      <c r="B516" s="1" t="n">
        <v>45539</v>
      </c>
      <c r="C516" s="1" t="n">
        <v>46198</v>
      </c>
      <c r="D516" t="inlineStr">
        <is>
          <t>KALMAR LÄN</t>
        </is>
      </c>
      <c r="E516" t="inlineStr">
        <is>
          <t>OSKARSHAMN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30289-2024</t>
        </is>
      </c>
      <c r="B517" s="1" t="n">
        <v>45490</v>
      </c>
      <c r="C517" s="1" t="n">
        <v>46198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57110-2023</t>
        </is>
      </c>
      <c r="B518" s="1" t="n">
        <v>45245</v>
      </c>
      <c r="C518" s="1" t="n">
        <v>46198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46068-2023</t>
        </is>
      </c>
      <c r="B519" s="1" t="n">
        <v>45196</v>
      </c>
      <c r="C519" s="1" t="n">
        <v>46198</v>
      </c>
      <c r="D519" t="inlineStr">
        <is>
          <t>KALMAR LÄN</t>
        </is>
      </c>
      <c r="E519" t="inlineStr">
        <is>
          <t>OSKARSHAMN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51721-2024</t>
        </is>
      </c>
      <c r="B520" s="1" t="n">
        <v>45604</v>
      </c>
      <c r="C520" s="1" t="n">
        <v>46198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51025-2023</t>
        </is>
      </c>
      <c r="B521" s="1" t="n">
        <v>45218</v>
      </c>
      <c r="C521" s="1" t="n">
        <v>46198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39939-2023</t>
        </is>
      </c>
      <c r="B522" s="1" t="n">
        <v>45168</v>
      </c>
      <c r="C522" s="1" t="n">
        <v>46198</v>
      </c>
      <c r="D522" t="inlineStr">
        <is>
          <t>KALMAR LÄN</t>
        </is>
      </c>
      <c r="E522" t="inlineStr">
        <is>
          <t>OSKARSHAMN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2782-2024</t>
        </is>
      </c>
      <c r="B523" s="1" t="n">
        <v>45314</v>
      </c>
      <c r="C523" s="1" t="n">
        <v>46198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17623-2023</t>
        </is>
      </c>
      <c r="B524" s="1" t="n">
        <v>45036</v>
      </c>
      <c r="C524" s="1" t="n">
        <v>46198</v>
      </c>
      <c r="D524" t="inlineStr">
        <is>
          <t>KALMAR LÄN</t>
        </is>
      </c>
      <c r="E524" t="inlineStr">
        <is>
          <t>OSKARSHAMN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39911-2024</t>
        </is>
      </c>
      <c r="B525" s="1" t="n">
        <v>45553</v>
      </c>
      <c r="C525" s="1" t="n">
        <v>46198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30057-2023</t>
        </is>
      </c>
      <c r="B526" s="1" t="n">
        <v>45110</v>
      </c>
      <c r="C526" s="1" t="n">
        <v>46198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55569-2024</t>
        </is>
      </c>
      <c r="B527" s="1" t="n">
        <v>45621</v>
      </c>
      <c r="C527" s="1" t="n">
        <v>46198</v>
      </c>
      <c r="D527" t="inlineStr">
        <is>
          <t>KALMAR LÄN</t>
        </is>
      </c>
      <c r="E527" t="inlineStr">
        <is>
          <t>OSKARSHAMN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60401-2024</t>
        </is>
      </c>
      <c r="B528" s="1" t="n">
        <v>45643</v>
      </c>
      <c r="C528" s="1" t="n">
        <v>46198</v>
      </c>
      <c r="D528" t="inlineStr">
        <is>
          <t>KALMAR LÄN</t>
        </is>
      </c>
      <c r="E528" t="inlineStr">
        <is>
          <t>OSKARSHAMN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8282-2025</t>
        </is>
      </c>
      <c r="B529" s="1" t="n">
        <v>45708</v>
      </c>
      <c r="C529" s="1" t="n">
        <v>46198</v>
      </c>
      <c r="D529" t="inlineStr">
        <is>
          <t>KALMAR LÄN</t>
        </is>
      </c>
      <c r="E529" t="inlineStr">
        <is>
          <t>OSKARSHAMN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59075-2021</t>
        </is>
      </c>
      <c r="B530" s="1" t="n">
        <v>44489</v>
      </c>
      <c r="C530" s="1" t="n">
        <v>46198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11933-2023</t>
        </is>
      </c>
      <c r="B531" s="1" t="n">
        <v>44995</v>
      </c>
      <c r="C531" s="1" t="n">
        <v>46198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28538-2023</t>
        </is>
      </c>
      <c r="B532" s="1" t="n">
        <v>45103</v>
      </c>
      <c r="C532" s="1" t="n">
        <v>46198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28544-2023</t>
        </is>
      </c>
      <c r="B533" s="1" t="n">
        <v>45103</v>
      </c>
      <c r="C533" s="1" t="n">
        <v>46198</v>
      </c>
      <c r="D533" t="inlineStr">
        <is>
          <t>KALMAR LÄN</t>
        </is>
      </c>
      <c r="E533" t="inlineStr">
        <is>
          <t>OSKARSHAMN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28116-2023</t>
        </is>
      </c>
      <c r="B534" s="1" t="n">
        <v>45099</v>
      </c>
      <c r="C534" s="1" t="n">
        <v>46198</v>
      </c>
      <c r="D534" t="inlineStr">
        <is>
          <t>KALMAR LÄN</t>
        </is>
      </c>
      <c r="E534" t="inlineStr">
        <is>
          <t>OSKARSHAMN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43931-2024</t>
        </is>
      </c>
      <c r="B535" s="1" t="n">
        <v>45572</v>
      </c>
      <c r="C535" s="1" t="n">
        <v>46198</v>
      </c>
      <c r="D535" t="inlineStr">
        <is>
          <t>KALMAR LÄN</t>
        </is>
      </c>
      <c r="E535" t="inlineStr">
        <is>
          <t>OSKARSHAMN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58406-2021</t>
        </is>
      </c>
      <c r="B536" s="1" t="n">
        <v>44488</v>
      </c>
      <c r="C536" s="1" t="n">
        <v>46198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8464-2025</t>
        </is>
      </c>
      <c r="B537" s="1" t="n">
        <v>45709</v>
      </c>
      <c r="C537" s="1" t="n">
        <v>46198</v>
      </c>
      <c r="D537" t="inlineStr">
        <is>
          <t>KALMAR LÄN</t>
        </is>
      </c>
      <c r="E537" t="inlineStr">
        <is>
          <t>OSKARSHAMN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30952-2023</t>
        </is>
      </c>
      <c r="B538" s="1" t="n">
        <v>45113</v>
      </c>
      <c r="C538" s="1" t="n">
        <v>46198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16215-2023</t>
        </is>
      </c>
      <c r="B539" s="1" t="n">
        <v>45028</v>
      </c>
      <c r="C539" s="1" t="n">
        <v>46198</v>
      </c>
      <c r="D539" t="inlineStr">
        <is>
          <t>KALMAR LÄN</t>
        </is>
      </c>
      <c r="E539" t="inlineStr">
        <is>
          <t>OSKARSHAMN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14129-2025</t>
        </is>
      </c>
      <c r="B540" s="1" t="n">
        <v>45740</v>
      </c>
      <c r="C540" s="1" t="n">
        <v>46198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31957-2023</t>
        </is>
      </c>
      <c r="B541" s="1" t="n">
        <v>45119</v>
      </c>
      <c r="C541" s="1" t="n">
        <v>46198</v>
      </c>
      <c r="D541" t="inlineStr">
        <is>
          <t>KALMAR LÄN</t>
        </is>
      </c>
      <c r="E541" t="inlineStr">
        <is>
          <t>OSKARSHAMN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26555-2024</t>
        </is>
      </c>
      <c r="B542" s="1" t="n">
        <v>45469</v>
      </c>
      <c r="C542" s="1" t="n">
        <v>46198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26549-2024</t>
        </is>
      </c>
      <c r="B543" s="1" t="n">
        <v>45469</v>
      </c>
      <c r="C543" s="1" t="n">
        <v>46198</v>
      </c>
      <c r="D543" t="inlineStr">
        <is>
          <t>KALMAR LÄN</t>
        </is>
      </c>
      <c r="E543" t="inlineStr">
        <is>
          <t>OSKARSHAMN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5201-2025</t>
        </is>
      </c>
      <c r="B544" s="1" t="n">
        <v>45691</v>
      </c>
      <c r="C544" s="1" t="n">
        <v>46198</v>
      </c>
      <c r="D544" t="inlineStr">
        <is>
          <t>KALMAR LÄN</t>
        </is>
      </c>
      <c r="E544" t="inlineStr">
        <is>
          <t>OSKARSHAMN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11858-2025</t>
        </is>
      </c>
      <c r="B545" s="1" t="n">
        <v>45728</v>
      </c>
      <c r="C545" s="1" t="n">
        <v>46198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34533-2024</t>
        </is>
      </c>
      <c r="B546" s="1" t="n">
        <v>45525</v>
      </c>
      <c r="C546" s="1" t="n">
        <v>46198</v>
      </c>
      <c r="D546" t="inlineStr">
        <is>
          <t>KALMAR LÄN</t>
        </is>
      </c>
      <c r="E546" t="inlineStr">
        <is>
          <t>OSKARSHAMN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54522-2023</t>
        </is>
      </c>
      <c r="B547" s="1" t="n">
        <v>45233</v>
      </c>
      <c r="C547" s="1" t="n">
        <v>46198</v>
      </c>
      <c r="D547" t="inlineStr">
        <is>
          <t>KALMAR LÄN</t>
        </is>
      </c>
      <c r="E547" t="inlineStr">
        <is>
          <t>OSKARSHAMN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53564-2023</t>
        </is>
      </c>
      <c r="B548" s="1" t="n">
        <v>45224</v>
      </c>
      <c r="C548" s="1" t="n">
        <v>46198</v>
      </c>
      <c r="D548" t="inlineStr">
        <is>
          <t>KALMAR LÄN</t>
        </is>
      </c>
      <c r="E548" t="inlineStr">
        <is>
          <t>OSKARSHAMN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27503-2024</t>
        </is>
      </c>
      <c r="B549" s="1" t="n">
        <v>45474</v>
      </c>
      <c r="C549" s="1" t="n">
        <v>46198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43934-2024</t>
        </is>
      </c>
      <c r="B550" s="1" t="n">
        <v>45572</v>
      </c>
      <c r="C550" s="1" t="n">
        <v>46198</v>
      </c>
      <c r="D550" t="inlineStr">
        <is>
          <t>KALMAR LÄN</t>
        </is>
      </c>
      <c r="E550" t="inlineStr">
        <is>
          <t>OSKARSHAMN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8300-2025</t>
        </is>
      </c>
      <c r="B551" s="1" t="n">
        <v>45708</v>
      </c>
      <c r="C551" s="1" t="n">
        <v>46198</v>
      </c>
      <c r="D551" t="inlineStr">
        <is>
          <t>KALMAR LÄN</t>
        </is>
      </c>
      <c r="E551" t="inlineStr">
        <is>
          <t>OSKARSHAMN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58375-2024</t>
        </is>
      </c>
      <c r="B552" s="1" t="n">
        <v>45632</v>
      </c>
      <c r="C552" s="1" t="n">
        <v>46198</v>
      </c>
      <c r="D552" t="inlineStr">
        <is>
          <t>KALMAR LÄN</t>
        </is>
      </c>
      <c r="E552" t="inlineStr">
        <is>
          <t>OSKARSHAMN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16788-2025</t>
        </is>
      </c>
      <c r="B553" s="1" t="n">
        <v>45754</v>
      </c>
      <c r="C553" s="1" t="n">
        <v>46198</v>
      </c>
      <c r="D553" t="inlineStr">
        <is>
          <t>KALMAR LÄN</t>
        </is>
      </c>
      <c r="E553" t="inlineStr">
        <is>
          <t>OSKARSHAMN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23938-2025</t>
        </is>
      </c>
      <c r="B554" s="1" t="n">
        <v>45796</v>
      </c>
      <c r="C554" s="1" t="n">
        <v>46198</v>
      </c>
      <c r="D554" t="inlineStr">
        <is>
          <t>KALMAR LÄN</t>
        </is>
      </c>
      <c r="E554" t="inlineStr">
        <is>
          <t>OSKARSHAMN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47956-2023</t>
        </is>
      </c>
      <c r="B555" s="1" t="n">
        <v>45204</v>
      </c>
      <c r="C555" s="1" t="n">
        <v>46198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34841-2024</t>
        </is>
      </c>
      <c r="B556" s="1" t="n">
        <v>45526</v>
      </c>
      <c r="C556" s="1" t="n">
        <v>46198</v>
      </c>
      <c r="D556" t="inlineStr">
        <is>
          <t>KALMAR LÄN</t>
        </is>
      </c>
      <c r="E556" t="inlineStr">
        <is>
          <t>OSKARSHAMN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16558-2024</t>
        </is>
      </c>
      <c r="B557" s="1" t="n">
        <v>45408</v>
      </c>
      <c r="C557" s="1" t="n">
        <v>46198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26127-2025</t>
        </is>
      </c>
      <c r="B558" s="1" t="n">
        <v>45805</v>
      </c>
      <c r="C558" s="1" t="n">
        <v>46198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26996-2025</t>
        </is>
      </c>
      <c r="B559" s="1" t="n">
        <v>45811</v>
      </c>
      <c r="C559" s="1" t="n">
        <v>46198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28254-2025</t>
        </is>
      </c>
      <c r="B560" s="1" t="n">
        <v>45818</v>
      </c>
      <c r="C560" s="1" t="n">
        <v>46198</v>
      </c>
      <c r="D560" t="inlineStr">
        <is>
          <t>KALMAR LÄN</t>
        </is>
      </c>
      <c r="E560" t="inlineStr">
        <is>
          <t>OSKARSHAMN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28340-2025</t>
        </is>
      </c>
      <c r="B561" s="1" t="n">
        <v>45818</v>
      </c>
      <c r="C561" s="1" t="n">
        <v>46198</v>
      </c>
      <c r="D561" t="inlineStr">
        <is>
          <t>KALMAR LÄN</t>
        </is>
      </c>
      <c r="E561" t="inlineStr">
        <is>
          <t>OSKARSHAMN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29571-2025</t>
        </is>
      </c>
      <c r="B562" s="1" t="n">
        <v>45825</v>
      </c>
      <c r="C562" s="1" t="n">
        <v>46198</v>
      </c>
      <c r="D562" t="inlineStr">
        <is>
          <t>KALMAR LÄN</t>
        </is>
      </c>
      <c r="E562" t="inlineStr">
        <is>
          <t>OSKARSHAMN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26336-2025</t>
        </is>
      </c>
      <c r="B563" s="1" t="n">
        <v>45805</v>
      </c>
      <c r="C563" s="1" t="n">
        <v>46198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30956-2025</t>
        </is>
      </c>
      <c r="B564" s="1" t="n">
        <v>45832</v>
      </c>
      <c r="C564" s="1" t="n">
        <v>46198</v>
      </c>
      <c r="D564" t="inlineStr">
        <is>
          <t>KALMAR LÄN</t>
        </is>
      </c>
      <c r="E564" t="inlineStr">
        <is>
          <t>OSKARSHAMN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31075-2025</t>
        </is>
      </c>
      <c r="B565" s="1" t="n">
        <v>45832</v>
      </c>
      <c r="C565" s="1" t="n">
        <v>46198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31081-2025</t>
        </is>
      </c>
      <c r="B566" s="1" t="n">
        <v>45832</v>
      </c>
      <c r="C566" s="1" t="n">
        <v>46198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23641-2025</t>
        </is>
      </c>
      <c r="B567" s="1" t="n">
        <v>45792</v>
      </c>
      <c r="C567" s="1" t="n">
        <v>46198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5100-2025</t>
        </is>
      </c>
      <c r="B568" s="1" t="n">
        <v>45691</v>
      </c>
      <c r="C568" s="1" t="n">
        <v>46198</v>
      </c>
      <c r="D568" t="inlineStr">
        <is>
          <t>KALMAR LÄN</t>
        </is>
      </c>
      <c r="E568" t="inlineStr">
        <is>
          <t>OSKARSHAMN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23622-2025</t>
        </is>
      </c>
      <c r="B569" s="1" t="n">
        <v>45792</v>
      </c>
      <c r="C569" s="1" t="n">
        <v>46198</v>
      </c>
      <c r="D569" t="inlineStr">
        <is>
          <t>KALMAR LÄN</t>
        </is>
      </c>
      <c r="E569" t="inlineStr">
        <is>
          <t>OSKARSHAMN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32564-2025</t>
        </is>
      </c>
      <c r="B570" s="1" t="n">
        <v>45838</v>
      </c>
      <c r="C570" s="1" t="n">
        <v>46198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61028-2024</t>
        </is>
      </c>
      <c r="B571" s="1" t="n">
        <v>45645</v>
      </c>
      <c r="C571" s="1" t="n">
        <v>46198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2026-06-25T00:49:40Z</dcterms:created>
  <dcterms:modified xmlns:dcterms="http://purl.org/dc/terms/" xmlns:xsi="http://www.w3.org/2001/XMLSchema-instance" xsi:type="dcterms:W3CDTF">2026-06-25T00:49:41Z</dcterms:modified>
</cp:coreProperties>
</file>