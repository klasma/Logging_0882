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46234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46234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46234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46234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46234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46234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46234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46234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46234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46234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46234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46234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46234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46234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46234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46234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46234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46234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46234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46234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46234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46234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46234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46234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46234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46234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46234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46234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46234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46234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46234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46234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46234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46234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46234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38954-2021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44411</v>
      </c>
      <c r="E47" s="1" t="n">
        <v>46234</v>
      </c>
      <c r="F47" t="inlineStr">
        <is>
          <t>KALMAR LÄN</t>
        </is>
      </c>
      <c r="G47" t="inlineStr">
        <is>
          <t>OSKARSHAMN</t>
        </is>
      </c>
      <c r="I47" t="n">
        <v>7.3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HYPERLINK("https://klasma.github.io/Logging_0882/artfynd/A 38954-2021 artfynd.xlsx", "A 38954-2021")</f>
        <v/>
      </c>
      <c r="X47">
        <f>HYPERLINK("https://klasma.github.io/Logging_0882/kartor/A 38954-2021 karta.png", "A 38954-2021")</f>
        <v/>
      </c>
      <c r="Y47">
        <f>HYPERLINK("https://klasma.github.io/Logging_0882/kartor_geotiff/A 38954-2021 georefererad karta.tif", "A 38954-2021")</f>
        <v/>
      </c>
      <c r="AA47">
        <f>HYPERLINK("https://klasma.github.io/Logging_0882/klagomål/A 38954-2021 FSC-klagomål.docx", "A 38954-2021")</f>
        <v/>
      </c>
      <c r="AB47">
        <f>HYPERLINK("https://klasma.github.io/Logging_0882/klagomålsmail/A 38954-2021 FSC-klagomål mail.docx", "A 38954-2021")</f>
        <v/>
      </c>
      <c r="AC47">
        <f>HYPERLINK("https://klasma.github.io/Logging_0882/tillsyn/A 38954-2021 tillsynsbegäran.docx", "A 38954-2021")</f>
        <v/>
      </c>
      <c r="AD47">
        <f>HYPERLINK("https://klasma.github.io/Logging_0882/tillsynsmail/A 38954-2021 tillsynsbegäran mail.docx", "A 38954-2021")</f>
        <v/>
      </c>
      <c r="AE47">
        <f>HYPERLINK("https://klasma.github.io/Logging_0882/fåglar/A 38954-2021 prioriterade fågelarter.docx", "A 38954-2021")</f>
        <v/>
      </c>
    </row>
    <row r="48" ht="15" customHeight="1">
      <c r="A48" t="inlineStr">
        <is>
          <t>A 42374-2021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46234</v>
      </c>
      <c r="F48" t="inlineStr">
        <is>
          <t>KALMAR LÄN</t>
        </is>
      </c>
      <c r="G48" t="inlineStr">
        <is>
          <t>OSKARSHAMN</t>
        </is>
      </c>
      <c r="I48" t="n">
        <v>29.4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HYPERLINK("https://klasma.github.io/Logging_0882/artfynd/A 42374-2021 artfynd.xlsx", "A 42374-2021")</f>
        <v/>
      </c>
      <c r="X48">
        <f>HYPERLINK("https://klasma.github.io/Logging_0882/kartor/A 42374-2021 karta.png", "A 42374-2021")</f>
        <v/>
      </c>
      <c r="Y48">
        <f>HYPERLINK("https://klasma.github.io/Logging_0882/kartor_geotiff/A 42374-2021 georefererad karta.tif", "A 42374-2021")</f>
        <v/>
      </c>
      <c r="AA48">
        <f>HYPERLINK("https://klasma.github.io/Logging_0882/klagomål/A 42374-2021 FSC-klagomål.docx", "A 42374-2021")</f>
        <v/>
      </c>
      <c r="AB48">
        <f>HYPERLINK("https://klasma.github.io/Logging_0882/klagomålsmail/A 42374-2021 FSC-klagomål mail.docx", "A 42374-2021")</f>
        <v/>
      </c>
      <c r="AC48">
        <f>HYPERLINK("https://klasma.github.io/Logging_0882/tillsyn/A 42374-2021 tillsynsbegäran.docx", "A 42374-2021")</f>
        <v/>
      </c>
      <c r="AD48">
        <f>HYPERLINK("https://klasma.github.io/Logging_0882/tillsynsmail/A 42374-2021 tillsynsbegäran mail.docx", "A 42374-2021")</f>
        <v/>
      </c>
      <c r="AE48">
        <f>HYPERLINK("https://klasma.github.io/Logging_0882/fåglar/A 42374-2021 prioriterade fågelarter.docx", "A 42374-2021")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46234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26208-2024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45468</v>
      </c>
      <c r="E50" s="1" t="n">
        <v>46234</v>
      </c>
      <c r="F50" t="inlineStr">
        <is>
          <t>KALMAR LÄN</t>
        </is>
      </c>
      <c r="G50" t="inlineStr">
        <is>
          <t>OSKARSHAMN</t>
        </is>
      </c>
      <c r="H50" t="inlineStr">
        <is>
          <t>Kommuner</t>
        </is>
      </c>
      <c r="I50" t="n">
        <v>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Jungfrulin</t>
        </is>
      </c>
      <c r="W50">
        <f>HYPERLINK("https://klasma.github.io/Logging_0882/artfynd/A 26208-2024 artfynd.xlsx", "A 26208-2024")</f>
        <v/>
      </c>
      <c r="X50">
        <f>HYPERLINK("https://klasma.github.io/Logging_0882/kartor/A 26208-2024 karta.png", "A 26208-2024")</f>
        <v/>
      </c>
      <c r="Y50">
        <f>HYPERLINK("https://klasma.github.io/Logging_0882/kartor_geotiff/A 26208-2024 georefererad karta.tif", "A 26208-2024")</f>
        <v/>
      </c>
      <c r="AA50">
        <f>HYPERLINK("https://klasma.github.io/Logging_0882/klagomål/A 26208-2024 FSC-klagomål.docx", "A 26208-2024")</f>
        <v/>
      </c>
      <c r="AB50">
        <f>HYPERLINK("https://klasma.github.io/Logging_0882/klagomålsmail/A 26208-2024 FSC-klagomål mail.docx", "A 26208-2024")</f>
        <v/>
      </c>
      <c r="AC50">
        <f>HYPERLINK("https://klasma.github.io/Logging_0882/tillsyn/A 26208-2024 tillsynsbegäran.docx", "A 26208-2024")</f>
        <v/>
      </c>
      <c r="AD50">
        <f>HYPERLINK("https://klasma.github.io/Logging_0882/tillsynsmail/A 26208-2024 tillsynsbegäran mail.docx", "A 26208-2024")</f>
        <v/>
      </c>
    </row>
    <row r="51" ht="15" customHeight="1">
      <c r="A51" t="inlineStr">
        <is>
          <t>A 37327-2024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45540</v>
      </c>
      <c r="E51" s="1" t="n">
        <v>46234</v>
      </c>
      <c r="F51" t="inlineStr">
        <is>
          <t>KALMAR LÄN</t>
        </is>
      </c>
      <c r="G51" t="inlineStr">
        <is>
          <t>OSKARSHAMN</t>
        </is>
      </c>
      <c r="I51" t="n">
        <v>5.5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Dropptaggsvamp</t>
        </is>
      </c>
      <c r="W51">
        <f>HYPERLINK("https://klasma.github.io/Logging_0882/artfynd/A 37327-2024 artfynd.xlsx", "A 37327-2024")</f>
        <v/>
      </c>
      <c r="X51">
        <f>HYPERLINK("https://klasma.github.io/Logging_0882/kartor/A 37327-2024 karta.png", "A 37327-2024")</f>
        <v/>
      </c>
      <c r="Y51">
        <f>HYPERLINK("https://klasma.github.io/Logging_0882/kartor_geotiff/A 37327-2024 georefererad karta.tif", "A 37327-2024")</f>
        <v/>
      </c>
      <c r="AA51">
        <f>HYPERLINK("https://klasma.github.io/Logging_0882/klagomål/A 37327-2024 FSC-klagomål.docx", "A 37327-2024")</f>
        <v/>
      </c>
      <c r="AB51">
        <f>HYPERLINK("https://klasma.github.io/Logging_0882/klagomålsmail/A 37327-2024 FSC-klagomål mail.docx", "A 37327-2024")</f>
        <v/>
      </c>
      <c r="AC51">
        <f>HYPERLINK("https://klasma.github.io/Logging_0882/tillsyn/A 37327-2024 tillsynsbegäran.docx", "A 37327-2024")</f>
        <v/>
      </c>
      <c r="AD51">
        <f>HYPERLINK("https://klasma.github.io/Logging_0882/tillsynsmail/A 37327-2024 tillsynsbegäran mail.docx", "A 37327-2024")</f>
        <v/>
      </c>
    </row>
    <row r="52" ht="15" customHeight="1">
      <c r="A52" t="inlineStr">
        <is>
          <t>A 42443-2023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45175</v>
      </c>
      <c r="E52" s="1" t="n">
        <v>46234</v>
      </c>
      <c r="F52" t="inlineStr">
        <is>
          <t>KALMAR LÄN</t>
        </is>
      </c>
      <c r="G52" t="inlineStr">
        <is>
          <t>OSKARSHAMN</t>
        </is>
      </c>
      <c r="I52" t="n">
        <v>11.4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Blåmossa</t>
        </is>
      </c>
      <c r="W52">
        <f>HYPERLINK("https://klasma.github.io/Logging_0882/artfynd/A 42443-2023 artfynd.xlsx", "A 42443-2023")</f>
        <v/>
      </c>
      <c r="X52">
        <f>HYPERLINK("https://klasma.github.io/Logging_0882/kartor/A 42443-2023 karta.png", "A 42443-2023")</f>
        <v/>
      </c>
      <c r="Y52">
        <f>HYPERLINK("https://klasma.github.io/Logging_0882/kartor_geotiff/A 42443-2023 georefererad karta.tif", "A 42443-2023")</f>
        <v/>
      </c>
      <c r="AA52">
        <f>HYPERLINK("https://klasma.github.io/Logging_0882/klagomål/A 42443-2023 FSC-klagomål.docx", "A 42443-2023")</f>
        <v/>
      </c>
      <c r="AB52">
        <f>HYPERLINK("https://klasma.github.io/Logging_0882/klagomålsmail/A 42443-2023 FSC-klagomål mail.docx", "A 42443-2023")</f>
        <v/>
      </c>
      <c r="AC52">
        <f>HYPERLINK("https://klasma.github.io/Logging_0882/tillsyn/A 42443-2023 tillsynsbegäran.docx", "A 42443-2023")</f>
        <v/>
      </c>
      <c r="AD52">
        <f>HYPERLINK("https://klasma.github.io/Logging_0882/tillsynsmail/A 42443-2023 tillsynsbegäran mail.docx", "A 42443-2023")</f>
        <v/>
      </c>
    </row>
    <row r="53" ht="15" customHeight="1">
      <c r="A53" t="inlineStr">
        <is>
          <t>A 16792-2025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46234</v>
      </c>
      <c r="F53" t="inlineStr">
        <is>
          <t>KALMAR LÄN</t>
        </is>
      </c>
      <c r="G53" t="inlineStr">
        <is>
          <t>OSKARSHAMN</t>
        </is>
      </c>
      <c r="I53" t="n">
        <v>2.6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Västlig hakmossa</t>
        </is>
      </c>
      <c r="W53">
        <f>HYPERLINK("https://klasma.github.io/Logging_0882/artfynd/A 16792-2025 artfynd.xlsx", "A 16792-2025")</f>
        <v/>
      </c>
      <c r="X53">
        <f>HYPERLINK("https://klasma.github.io/Logging_0882/kartor/A 16792-2025 karta.png", "A 16792-2025")</f>
        <v/>
      </c>
      <c r="Y53">
        <f>HYPERLINK("https://klasma.github.io/Logging_0882/kartor_geotiff/A 16792-2025 georefererad karta.tif", "A 16792-2025")</f>
        <v/>
      </c>
      <c r="AA53">
        <f>HYPERLINK("https://klasma.github.io/Logging_0882/klagomål/A 16792-2025 FSC-klagomål.docx", "A 16792-2025")</f>
        <v/>
      </c>
      <c r="AB53">
        <f>HYPERLINK("https://klasma.github.io/Logging_0882/klagomålsmail/A 16792-2025 FSC-klagomål mail.docx", "A 16792-2025")</f>
        <v/>
      </c>
      <c r="AC53">
        <f>HYPERLINK("https://klasma.github.io/Logging_0882/tillsyn/A 16792-2025 tillsynsbegäran.docx", "A 16792-2025")</f>
        <v/>
      </c>
      <c r="AD53">
        <f>HYPERLINK("https://klasma.github.io/Logging_0882/tillsynsmail/A 16792-2025 tillsynsbegäran mail.docx", "A 16792-2025")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46234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HYPERLINK("https://klasma.github.io/Logging_0882/artfynd/A 42759-2025 artfynd.xlsx", "A 42759-2025")</f>
        <v/>
      </c>
      <c r="X54">
        <f>HYPERLINK("https://klasma.github.io/Logging_0882/kartor/A 42759-2025 karta.png", "A 42759-2025")</f>
        <v/>
      </c>
      <c r="Y54">
        <f>HYPERLINK("https://klasma.github.io/Logging_0882/kartor_geotiff/A 42759-2025 georefererad karta.tif", "A 42759-2025")</f>
        <v/>
      </c>
      <c r="AA54">
        <f>HYPERLINK("https://klasma.github.io/Logging_0882/klagomål/A 42759-2025 FSC-klagomål.docx", "A 42759-2025")</f>
        <v/>
      </c>
      <c r="AB54">
        <f>HYPERLINK("https://klasma.github.io/Logging_0882/klagomålsmail/A 42759-2025 FSC-klagomål mail.docx", "A 42759-2025")</f>
        <v/>
      </c>
      <c r="AC54">
        <f>HYPERLINK("https://klasma.github.io/Logging_0882/tillsyn/A 42759-2025 tillsynsbegäran.docx", "A 42759-2025")</f>
        <v/>
      </c>
      <c r="AD54">
        <f>HYPERLINK("https://klasma.github.io/Logging_0882/tillsynsmail/A 42759-2025 tillsynsbegäran mail.docx", "A 42759-2025")</f>
        <v/>
      </c>
    </row>
    <row r="55" ht="15" customHeight="1">
      <c r="A55" t="inlineStr">
        <is>
          <t>A 46276-2024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46234</v>
      </c>
      <c r="F55" t="inlineStr">
        <is>
          <t>KALMAR LÄN</t>
        </is>
      </c>
      <c r="G55" t="inlineStr">
        <is>
          <t>OSKARSHAMN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Blåsippa</t>
        </is>
      </c>
      <c r="W55">
        <f>HYPERLINK("https://klasma.github.io/Logging_0882/artfynd/A 46276-2024 artfynd.xlsx", "A 46276-2024")</f>
        <v/>
      </c>
      <c r="X55">
        <f>HYPERLINK("https://klasma.github.io/Logging_0882/kartor/A 46276-2024 karta.png", "A 46276-2024")</f>
        <v/>
      </c>
      <c r="Y55">
        <f>HYPERLINK("https://klasma.github.io/Logging_0882/kartor_geotiff/A 46276-2024 georefererad karta.tif", "A 46276-2024")</f>
        <v/>
      </c>
      <c r="AA55">
        <f>HYPERLINK("https://klasma.github.io/Logging_0882/klagomål/A 46276-2024 FSC-klagomål.docx", "A 46276-2024")</f>
        <v/>
      </c>
      <c r="AB55">
        <f>HYPERLINK("https://klasma.github.io/Logging_0882/klagomålsmail/A 46276-2024 FSC-klagomål mail.docx", "A 46276-2024")</f>
        <v/>
      </c>
      <c r="AC55">
        <f>HYPERLINK("https://klasma.github.io/Logging_0882/tillsyn/A 46276-2024 tillsynsbegäran.docx", "A 46276-2024")</f>
        <v/>
      </c>
      <c r="AD55">
        <f>HYPERLINK("https://klasma.github.io/Logging_0882/tillsynsmail/A 46276-2024 tillsynsbegäran mail.docx", "A 46276-2024")</f>
        <v/>
      </c>
    </row>
    <row r="56" ht="15" customHeight="1">
      <c r="A56" t="inlineStr">
        <is>
          <t>A 40258-2022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46234</v>
      </c>
      <c r="F56" t="inlineStr">
        <is>
          <t>KALMAR LÄN</t>
        </is>
      </c>
      <c r="G56" t="inlineStr">
        <is>
          <t>OSKARSHAMN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Orange taggsvamp</t>
        </is>
      </c>
      <c r="W56">
        <f>HYPERLINK("https://klasma.github.io/Logging_0882/artfynd/A 40258-2022 artfynd.xlsx", "A 40258-2022")</f>
        <v/>
      </c>
      <c r="X56">
        <f>HYPERLINK("https://klasma.github.io/Logging_0882/kartor/A 40258-2022 karta.png", "A 40258-2022")</f>
        <v/>
      </c>
      <c r="Y56">
        <f>HYPERLINK("https://klasma.github.io/Logging_0882/kartor_geotiff/A 40258-2022 georefererad karta.tif", "A 40258-2022")</f>
        <v/>
      </c>
      <c r="AA56">
        <f>HYPERLINK("https://klasma.github.io/Logging_0882/klagomål/A 40258-2022 FSC-klagomål.docx", "A 40258-2022")</f>
        <v/>
      </c>
      <c r="AB56">
        <f>HYPERLINK("https://klasma.github.io/Logging_0882/klagomålsmail/A 40258-2022 FSC-klagomål mail.docx", "A 40258-2022")</f>
        <v/>
      </c>
      <c r="AC56">
        <f>HYPERLINK("https://klasma.github.io/Logging_0882/tillsyn/A 40258-2022 tillsynsbegäran.docx", "A 40258-2022")</f>
        <v/>
      </c>
      <c r="AD56">
        <f>HYPERLINK("https://klasma.github.io/Logging_0882/tillsynsmail/A 40258-2022 tillsynsbegäran mail.docx", "A 40258-2022")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46234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27854-2023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45098</v>
      </c>
      <c r="E58" s="1" t="n">
        <v>46234</v>
      </c>
      <c r="F58" t="inlineStr">
        <is>
          <t>KALMAR LÄN</t>
        </is>
      </c>
      <c r="G58" t="inlineStr">
        <is>
          <t>OSKARSHAMN</t>
        </is>
      </c>
      <c r="I58" t="n">
        <v>3.3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Åkerkål</t>
        </is>
      </c>
      <c r="W58">
        <f>HYPERLINK("https://klasma.github.io/Logging_0882/artfynd/A 27854-2023 artfynd.xlsx", "A 27854-2023")</f>
        <v/>
      </c>
      <c r="X58">
        <f>HYPERLINK("https://klasma.github.io/Logging_0882/kartor/A 27854-2023 karta.png", "A 27854-2023")</f>
        <v/>
      </c>
      <c r="Y58">
        <f>HYPERLINK("https://klasma.github.io/Logging_0882/kartor_geotiff/A 27854-2023 georefererad karta.tif", "A 27854-2023")</f>
        <v/>
      </c>
      <c r="AA58">
        <f>HYPERLINK("https://klasma.github.io/Logging_0882/klagomål/A 27854-2023 FSC-klagomål.docx", "A 27854-2023")</f>
        <v/>
      </c>
      <c r="AB58">
        <f>HYPERLINK("https://klasma.github.io/Logging_0882/klagomålsmail/A 27854-2023 FSC-klagomål mail.docx", "A 27854-2023")</f>
        <v/>
      </c>
      <c r="AC58">
        <f>HYPERLINK("https://klasma.github.io/Logging_0882/tillsyn/A 27854-2023 tillsynsbegäran.docx", "A 27854-2023")</f>
        <v/>
      </c>
      <c r="AD58">
        <f>HYPERLINK("https://klasma.github.io/Logging_0882/tillsynsmail/A 27854-2023 tillsynsbegäran mail.docx", "A 27854-2023")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46234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46234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24769-2025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46234</v>
      </c>
      <c r="F61" t="inlineStr">
        <is>
          <t>KALMAR LÄN</t>
        </is>
      </c>
      <c r="G61" t="inlineStr">
        <is>
          <t>OSKARSHAMN</t>
        </is>
      </c>
      <c r="I61" t="n">
        <v>1.7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HYPERLINK("https://klasma.github.io/Logging_0882/artfynd/A 24769-2025 artfynd.xlsx", "A 24769-2025")</f>
        <v/>
      </c>
      <c r="X61">
        <f>HYPERLINK("https://klasma.github.io/Logging_0882/kartor/A 24769-2025 karta.png", "A 24769-2025")</f>
        <v/>
      </c>
      <c r="Y61">
        <f>HYPERLINK("https://klasma.github.io/Logging_0882/kartor_geotiff/A 24769-2025 georefererad karta.tif", "A 24769-2025")</f>
        <v/>
      </c>
      <c r="AA61">
        <f>HYPERLINK("https://klasma.github.io/Logging_0882/klagomål/A 24769-2025 FSC-klagomål.docx", "A 24769-2025")</f>
        <v/>
      </c>
      <c r="AB61">
        <f>HYPERLINK("https://klasma.github.io/Logging_0882/klagomålsmail/A 24769-2025 FSC-klagomål mail.docx", "A 24769-2025")</f>
        <v/>
      </c>
      <c r="AC61">
        <f>HYPERLINK("https://klasma.github.io/Logging_0882/tillsyn/A 24769-2025 tillsynsbegäran.docx", "A 24769-2025")</f>
        <v/>
      </c>
      <c r="AD61">
        <f>HYPERLINK("https://klasma.github.io/Logging_0882/tillsynsmail/A 24769-2025 tillsynsbegäran mail.docx", "A 24769-2025")</f>
        <v/>
      </c>
      <c r="AE61">
        <f>HYPERLINK("https://klasma.github.io/Logging_0882/fåglar/A 24769-2025 prioriterade fågelarter.docx", "A 24769-2025")</f>
        <v/>
      </c>
    </row>
    <row r="62" ht="15" customHeight="1">
      <c r="A62" t="inlineStr">
        <is>
          <t>A 6818-2025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46234</v>
      </c>
      <c r="F62" t="inlineStr">
        <is>
          <t>KALMAR LÄN</t>
        </is>
      </c>
      <c r="G62" t="inlineStr">
        <is>
          <t>OSKARSHAMN</t>
        </is>
      </c>
      <c r="I62" t="n">
        <v>2.4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HYPERLINK("https://klasma.github.io/Logging_0882/artfynd/A 6818-2025 artfynd.xlsx", "A 6818-2025")</f>
        <v/>
      </c>
      <c r="X62">
        <f>HYPERLINK("https://klasma.github.io/Logging_0882/kartor/A 6818-2025 karta.png", "A 6818-2025")</f>
        <v/>
      </c>
      <c r="Y62">
        <f>HYPERLINK("https://klasma.github.io/Logging_0882/kartor_geotiff/A 6818-2025 georefererad karta.tif", "A 6818-2025")</f>
        <v/>
      </c>
      <c r="AA62">
        <f>HYPERLINK("https://klasma.github.io/Logging_0882/klagomål/A 6818-2025 FSC-klagomål.docx", "A 6818-2025")</f>
        <v/>
      </c>
      <c r="AB62">
        <f>HYPERLINK("https://klasma.github.io/Logging_0882/klagomålsmail/A 6818-2025 FSC-klagomål mail.docx", "A 6818-2025")</f>
        <v/>
      </c>
      <c r="AC62">
        <f>HYPERLINK("https://klasma.github.io/Logging_0882/tillsyn/A 6818-2025 tillsynsbegäran.docx", "A 6818-2025")</f>
        <v/>
      </c>
      <c r="AD62">
        <f>HYPERLINK("https://klasma.github.io/Logging_0882/tillsynsmail/A 6818-2025 tillsynsbegäran mail.docx", "A 6818-2025")</f>
        <v/>
      </c>
      <c r="AE62">
        <f>HYPERLINK("https://klasma.github.io/Logging_0882/fåglar/A 6818-2025 prioriterade fågelarter.docx", "A 6818-2025")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46234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Åttafläckig praktbagge</t>
        </is>
      </c>
      <c r="W63">
        <f>HYPERLINK("https://klasma.github.io/Logging_0882/artfynd/A 39629-2022 artfynd.xlsx", "A 39629-2022")</f>
        <v/>
      </c>
      <c r="X63">
        <f>HYPERLINK("https://klasma.github.io/Logging_0882/kartor/A 39629-2022 karta.png", "A 39629-2022")</f>
        <v/>
      </c>
      <c r="Y63">
        <f>HYPERLINK("https://klasma.github.io/Logging_0882/kartor_geotiff/A 39629-2022 georefererad karta.tif", "A 39629-2022")</f>
        <v/>
      </c>
      <c r="AA63">
        <f>HYPERLINK("https://klasma.github.io/Logging_0882/klagomål/A 39629-2022 FSC-klagomål.docx", "A 39629-2022")</f>
        <v/>
      </c>
      <c r="AB63">
        <f>HYPERLINK("https://klasma.github.io/Logging_0882/klagomålsmail/A 39629-2022 FSC-klagomål mail.docx", "A 39629-2022")</f>
        <v/>
      </c>
      <c r="AC63">
        <f>HYPERLINK("https://klasma.github.io/Logging_0882/tillsyn/A 39629-2022 tillsynsbegäran.docx", "A 39629-2022")</f>
        <v/>
      </c>
      <c r="AD63">
        <f>HYPERLINK("https://klasma.github.io/Logging_0882/tillsynsmail/A 39629-2022 tillsynsbegäran mail.docx", "A 39629-2022")</f>
        <v/>
      </c>
    </row>
    <row r="64" ht="15" customHeight="1">
      <c r="A64" t="inlineStr">
        <is>
          <t>A 20166-2026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46234</v>
      </c>
      <c r="F64" t="inlineStr">
        <is>
          <t>KALMAR LÄN</t>
        </is>
      </c>
      <c r="G64" t="inlineStr">
        <is>
          <t>OSKARSHAMN</t>
        </is>
      </c>
      <c r="I64" t="n">
        <v>2.1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Murgröna</t>
        </is>
      </c>
      <c r="W64">
        <f>HYPERLINK("https://klasma.github.io/Logging_0882/artfynd/A 20166-2026 artfynd.xlsx", "A 20166-2026")</f>
        <v/>
      </c>
      <c r="X64">
        <f>HYPERLINK("https://klasma.github.io/Logging_0882/kartor/A 20166-2026 karta.png", "A 20166-2026")</f>
        <v/>
      </c>
      <c r="Y64">
        <f>HYPERLINK("https://klasma.github.io/Logging_0882/kartor_geotiff/A 20166-2026 georefererad karta.tif", "A 20166-2026")</f>
        <v/>
      </c>
      <c r="AA64">
        <f>HYPERLINK("https://klasma.github.io/Logging_0882/klagomål/A 20166-2026 FSC-klagomål.docx", "A 20166-2026")</f>
        <v/>
      </c>
      <c r="AB64">
        <f>HYPERLINK("https://klasma.github.io/Logging_0882/klagomålsmail/A 20166-2026 FSC-klagomål mail.docx", "A 20166-2026")</f>
        <v/>
      </c>
      <c r="AC64">
        <f>HYPERLINK("https://klasma.github.io/Logging_0882/tillsyn/A 20166-2026 tillsynsbegäran.docx", "A 20166-2026")</f>
        <v/>
      </c>
      <c r="AD64">
        <f>HYPERLINK("https://klasma.github.io/Logging_0882/tillsynsmail/A 20166-2026 tillsynsbegäran mail.docx", "A 20166-2026")</f>
        <v/>
      </c>
    </row>
    <row r="65" ht="15" customHeight="1">
      <c r="A65" t="inlineStr">
        <is>
          <t>A 26730-2026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46234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Mosippa</t>
        </is>
      </c>
      <c r="W65">
        <f>HYPERLINK("https://klasma.github.io/Logging_0882/artfynd/A 26730-2026 artfynd.xlsx", "A 26730-2026")</f>
        <v/>
      </c>
      <c r="X65">
        <f>HYPERLINK("https://klasma.github.io/Logging_0882/kartor/A 26730-2026 karta.png", "A 26730-2026")</f>
        <v/>
      </c>
      <c r="Y65">
        <f>HYPERLINK("https://klasma.github.io/Logging_0882/kartor_geotiff/A 26730-2026 georefererad karta.tif", "A 26730-2026")</f>
        <v/>
      </c>
      <c r="AA65">
        <f>HYPERLINK("https://klasma.github.io/Logging_0882/klagomål/A 26730-2026 FSC-klagomål.docx", "A 26730-2026")</f>
        <v/>
      </c>
      <c r="AB65">
        <f>HYPERLINK("https://klasma.github.io/Logging_0882/klagomålsmail/A 26730-2026 FSC-klagomål mail.docx", "A 26730-2026")</f>
        <v/>
      </c>
      <c r="AC65">
        <f>HYPERLINK("https://klasma.github.io/Logging_0882/tillsyn/A 26730-2026 tillsynsbegäran.docx", "A 26730-2026")</f>
        <v/>
      </c>
      <c r="AD65">
        <f>HYPERLINK("https://klasma.github.io/Logging_0882/tillsynsmail/A 26730-2026 tillsynsbegäran mail.docx", "A 26730-2026")</f>
        <v/>
      </c>
    </row>
    <row r="66" ht="15" customHeight="1">
      <c r="A66" t="inlineStr">
        <is>
          <t>S 562-2022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44592</v>
      </c>
      <c r="E66" s="1" t="n">
        <v>46234</v>
      </c>
      <c r="F66" t="inlineStr">
        <is>
          <t>KALMAR LÄN</t>
        </is>
      </c>
      <c r="G66" t="inlineStr">
        <is>
          <t>OSKARSHAMN</t>
        </is>
      </c>
      <c r="I66" t="n">
        <v>18.6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HYPERLINK("https://klasma.github.io/Logging_0882/artfynd/S 562-2022 artfynd.xlsx", "S 562-2022")</f>
        <v/>
      </c>
      <c r="X66">
        <f>HYPERLINK("https://klasma.github.io/Logging_0882/kartor/S 562-2022 karta.png", "S 562-2022")</f>
        <v/>
      </c>
      <c r="Y66">
        <f>HYPERLINK("https://klasma.github.io/Logging_0882/kartor_geotiff/S 562-2022 georefererad karta.tif", "S 562-2022")</f>
        <v/>
      </c>
      <c r="AA66">
        <f>HYPERLINK("https://klasma.github.io/Logging_0882/klagomål/S 562-2022 FSC-klagomål.docx", "S 562-2022")</f>
        <v/>
      </c>
      <c r="AB66">
        <f>HYPERLINK("https://klasma.github.io/Logging_0882/klagomålsmail/S 562-2022 FSC-klagomål mail.docx", "S 562-2022")</f>
        <v/>
      </c>
      <c r="AC66">
        <f>HYPERLINK("https://klasma.github.io/Logging_0882/tillsyn/S 562-2022 tillsynsbegäran.docx", "S 562-2022")</f>
        <v/>
      </c>
      <c r="AD66">
        <f>HYPERLINK("https://klasma.github.io/Logging_0882/tillsynsmail/S 562-2022 tillsynsbegäran mail.docx", "S 562-2022")</f>
        <v/>
      </c>
    </row>
    <row r="67" ht="15" customHeight="1">
      <c r="A67" t="inlineStr">
        <is>
          <t>A 36313-2022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44803</v>
      </c>
      <c r="E67" s="1" t="n">
        <v>46234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46234</v>
      </c>
      <c r="F68" t="inlineStr">
        <is>
          <t>KALMAR LÄN</t>
        </is>
      </c>
      <c r="G68" t="inlineStr">
        <is>
          <t>OSKARSHAMN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46234</v>
      </c>
      <c r="F69" t="inlineStr">
        <is>
          <t>KALMAR LÄN</t>
        </is>
      </c>
      <c r="G69" t="inlineStr">
        <is>
          <t>OSKARSHAMN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46234</v>
      </c>
      <c r="F70" t="inlineStr">
        <is>
          <t>KALMAR LÄN</t>
        </is>
      </c>
      <c r="G70" t="inlineStr">
        <is>
          <t>OSKARSHAMN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46234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44418</v>
      </c>
      <c r="E72" s="1" t="n">
        <v>46234</v>
      </c>
      <c r="F72" t="inlineStr">
        <is>
          <t>KALMAR LÄN</t>
        </is>
      </c>
      <c r="G72" t="inlineStr">
        <is>
          <t>OSKARSHAMN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46234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46234</v>
      </c>
      <c r="F74" t="inlineStr">
        <is>
          <t>KALMAR LÄN</t>
        </is>
      </c>
      <c r="G74" t="inlineStr">
        <is>
          <t>OSKARSHAMN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46234</v>
      </c>
      <c r="F75" t="inlineStr">
        <is>
          <t>KALMAR LÄN</t>
        </is>
      </c>
      <c r="G75" t="inlineStr">
        <is>
          <t>OSKARSHAMN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46234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46234</v>
      </c>
      <c r="F77" t="inlineStr">
        <is>
          <t>KALMAR LÄN</t>
        </is>
      </c>
      <c r="G77" t="inlineStr">
        <is>
          <t>OSKARSHAMN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46234</v>
      </c>
      <c r="F78" t="inlineStr">
        <is>
          <t>KALMAR LÄN</t>
        </is>
      </c>
      <c r="G78" t="inlineStr">
        <is>
          <t>OSKARSHAMN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46234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46234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46234</v>
      </c>
      <c r="F81" t="inlineStr">
        <is>
          <t>KALMAR LÄN</t>
        </is>
      </c>
      <c r="G81" t="inlineStr">
        <is>
          <t>OSKARSHAMN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44580</v>
      </c>
      <c r="E82" s="1" t="n">
        <v>46234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46234</v>
      </c>
      <c r="F83" t="inlineStr">
        <is>
          <t>KALMAR LÄN</t>
        </is>
      </c>
      <c r="G83" t="inlineStr">
        <is>
          <t>OSKARSHAMN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46234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44443</v>
      </c>
      <c r="E85" s="1" t="n">
        <v>46234</v>
      </c>
      <c r="F85" t="inlineStr">
        <is>
          <t>KALMAR LÄN</t>
        </is>
      </c>
      <c r="G85" t="inlineStr">
        <is>
          <t>OSKARSHAMN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47843-2022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44855</v>
      </c>
      <c r="E86" s="1" t="n">
        <v>46234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46234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46234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46234</v>
      </c>
      <c r="F89" t="inlineStr">
        <is>
          <t>KALMAR LÄN</t>
        </is>
      </c>
      <c r="G89" t="inlineStr">
        <is>
          <t>OSKARSHAMN</t>
        </is>
      </c>
      <c r="H89" t="inlineStr">
        <is>
          <t>Övriga Aktiebolag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46234</v>
      </c>
      <c r="F90" t="inlineStr">
        <is>
          <t>KALMAR LÄN</t>
        </is>
      </c>
      <c r="G90" t="inlineStr">
        <is>
          <t>OSKARSHAMN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46234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46234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46234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46234</v>
      </c>
      <c r="F94" t="inlineStr">
        <is>
          <t>KALMAR LÄN</t>
        </is>
      </c>
      <c r="G94" t="inlineStr">
        <is>
          <t>OSKARSHAMN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46234</v>
      </c>
      <c r="F95" t="inlineStr">
        <is>
          <t>KALMAR LÄN</t>
        </is>
      </c>
      <c r="G95" t="inlineStr">
        <is>
          <t>OSKARSHAMN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46234</v>
      </c>
      <c r="F96" t="inlineStr">
        <is>
          <t>KALMAR LÄN</t>
        </is>
      </c>
      <c r="G96" t="inlineStr">
        <is>
          <t>OSKARSHAMN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46234</v>
      </c>
      <c r="F97" t="inlineStr">
        <is>
          <t>KALMAR LÄN</t>
        </is>
      </c>
      <c r="G97" t="inlineStr">
        <is>
          <t>OSKARSHAMN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46234</v>
      </c>
      <c r="F98" t="inlineStr">
        <is>
          <t>KALMAR LÄN</t>
        </is>
      </c>
      <c r="G98" t="inlineStr">
        <is>
          <t>OSKARSHAMN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46234</v>
      </c>
      <c r="F99" t="inlineStr">
        <is>
          <t>KALMAR LÄN</t>
        </is>
      </c>
      <c r="G99" t="inlineStr">
        <is>
          <t>OSKARSHAMN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46234</v>
      </c>
      <c r="F100" t="inlineStr">
        <is>
          <t>KALMAR LÄN</t>
        </is>
      </c>
      <c r="G100" t="inlineStr">
        <is>
          <t>OSKARSHAMN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46234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44704</v>
      </c>
      <c r="E102" s="1" t="n">
        <v>46234</v>
      </c>
      <c r="F102" t="inlineStr">
        <is>
          <t>KALMAR LÄN</t>
        </is>
      </c>
      <c r="G102" t="inlineStr">
        <is>
          <t>OSKARSHAMN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46234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46234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46234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46234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46234</v>
      </c>
      <c r="F107" t="inlineStr">
        <is>
          <t>KALMAR LÄN</t>
        </is>
      </c>
      <c r="G107" t="inlineStr">
        <is>
          <t>OSKARSHAMN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46234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46234</v>
      </c>
      <c r="F109" t="inlineStr">
        <is>
          <t>KALMAR LÄN</t>
        </is>
      </c>
      <c r="G109" t="inlineStr">
        <is>
          <t>OSKARSHAMN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46234</v>
      </c>
      <c r="F110" t="inlineStr">
        <is>
          <t>KALMAR LÄN</t>
        </is>
      </c>
      <c r="G110" t="inlineStr">
        <is>
          <t>OSKARSHAMN</t>
        </is>
      </c>
      <c r="H110" t="inlineStr">
        <is>
          <t>Övriga Aktiebolag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46234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46234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44713</v>
      </c>
      <c r="E113" s="1" t="n">
        <v>46234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44593</v>
      </c>
      <c r="E114" s="1" t="n">
        <v>46234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46234</v>
      </c>
      <c r="F115" t="inlineStr">
        <is>
          <t>KALMAR LÄN</t>
        </is>
      </c>
      <c r="G115" t="inlineStr">
        <is>
          <t>OSKARSHAMN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46234</v>
      </c>
      <c r="F116" t="inlineStr">
        <is>
          <t>KALMAR LÄN</t>
        </is>
      </c>
      <c r="G116" t="inlineStr">
        <is>
          <t>OSKARSHAMN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46234</v>
      </c>
      <c r="F117" t="inlineStr">
        <is>
          <t>KALMAR LÄN</t>
        </is>
      </c>
      <c r="G117" t="inlineStr">
        <is>
          <t>OSKARSHAMN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46234</v>
      </c>
      <c r="F118" t="inlineStr">
        <is>
          <t>KALMAR LÄN</t>
        </is>
      </c>
      <c r="G118" t="inlineStr">
        <is>
          <t>OSKARSHAMN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46234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46234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46234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46234</v>
      </c>
      <c r="F122" t="inlineStr">
        <is>
          <t>KALMAR LÄN</t>
        </is>
      </c>
      <c r="G122" t="inlineStr">
        <is>
          <t>OSKARSHAMN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46234</v>
      </c>
      <c r="F123" t="inlineStr">
        <is>
          <t>KALMAR LÄN</t>
        </is>
      </c>
      <c r="G123" t="inlineStr">
        <is>
          <t>OSKARSHAMN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44756</v>
      </c>
      <c r="E124" s="1" t="n">
        <v>46234</v>
      </c>
      <c r="F124" t="inlineStr">
        <is>
          <t>KALMAR LÄN</t>
        </is>
      </c>
      <c r="G124" t="inlineStr">
        <is>
          <t>OSKARSHAMN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44978</v>
      </c>
      <c r="E125" s="1" t="n">
        <v>46234</v>
      </c>
      <c r="F125" t="inlineStr">
        <is>
          <t>KALMAR LÄN</t>
        </is>
      </c>
      <c r="G125" t="inlineStr">
        <is>
          <t>OSKARSHAMN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46234</v>
      </c>
      <c r="F126" t="inlineStr">
        <is>
          <t>KALMAR LÄN</t>
        </is>
      </c>
      <c r="G126" t="inlineStr">
        <is>
          <t>OSKARSHAMN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46234</v>
      </c>
      <c r="F127" t="inlineStr">
        <is>
          <t>KALMAR LÄN</t>
        </is>
      </c>
      <c r="G127" t="inlineStr">
        <is>
          <t>OSKARSHAMN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46234</v>
      </c>
      <c r="F128" t="inlineStr">
        <is>
          <t>KALMAR LÄN</t>
        </is>
      </c>
      <c r="G128" t="inlineStr">
        <is>
          <t>OSKARSHAMN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45900-2024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46234</v>
      </c>
      <c r="F129" t="inlineStr">
        <is>
          <t>KALMAR LÄN</t>
        </is>
      </c>
      <c r="G129" t="inlineStr">
        <is>
          <t>OSKARSHAMN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46234</v>
      </c>
      <c r="F130" t="inlineStr">
        <is>
          <t>KALMAR LÄN</t>
        </is>
      </c>
      <c r="G130" t="inlineStr">
        <is>
          <t>OSKARSHAMN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45028</v>
      </c>
      <c r="E131" s="1" t="n">
        <v>46234</v>
      </c>
      <c r="F131" t="inlineStr">
        <is>
          <t>KALMAR LÄN</t>
        </is>
      </c>
      <c r="G131" t="inlineStr">
        <is>
          <t>OSKARSHAMN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14129-2025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45740</v>
      </c>
      <c r="E132" s="1" t="n">
        <v>46234</v>
      </c>
      <c r="F132" t="inlineStr">
        <is>
          <t>KALMAR LÄN</t>
        </is>
      </c>
      <c r="G132" t="inlineStr">
        <is>
          <t>OSKARSHAMN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46234</v>
      </c>
      <c r="F133" t="inlineStr">
        <is>
          <t>KALMAR LÄN</t>
        </is>
      </c>
      <c r="G133" t="inlineStr">
        <is>
          <t>OSKARSHAMN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45448</v>
      </c>
      <c r="E134" s="1" t="n">
        <v>46234</v>
      </c>
      <c r="F134" t="inlineStr">
        <is>
          <t>KALMAR LÄN</t>
        </is>
      </c>
      <c r="G134" t="inlineStr">
        <is>
          <t>OSKARSHAMN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46234</v>
      </c>
      <c r="F135" t="inlineStr">
        <is>
          <t>KALMAR LÄN</t>
        </is>
      </c>
      <c r="G135" t="inlineStr">
        <is>
          <t>OSKARSHAMN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46234</v>
      </c>
      <c r="F136" t="inlineStr">
        <is>
          <t>KALMAR LÄN</t>
        </is>
      </c>
      <c r="G136" t="inlineStr">
        <is>
          <t>OSKARSHAMN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45469</v>
      </c>
      <c r="E137" s="1" t="n">
        <v>46234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46234</v>
      </c>
      <c r="F138" t="inlineStr">
        <is>
          <t>KALMAR LÄN</t>
        </is>
      </c>
      <c r="G138" t="inlineStr">
        <is>
          <t>OSKARSHAMN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46234</v>
      </c>
      <c r="F139" t="inlineStr">
        <is>
          <t>KALMAR LÄN</t>
        </is>
      </c>
      <c r="G139" t="inlineStr">
        <is>
          <t>OSKARSHAMN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27684-2022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44743</v>
      </c>
      <c r="E140" s="1" t="n">
        <v>46234</v>
      </c>
      <c r="F140" t="inlineStr">
        <is>
          <t>KALMAR LÄN</t>
        </is>
      </c>
      <c r="G140" t="inlineStr">
        <is>
          <t>OSKARSHAMN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46234</v>
      </c>
      <c r="F141" t="inlineStr">
        <is>
          <t>KALMAR LÄN</t>
        </is>
      </c>
      <c r="G141" t="inlineStr">
        <is>
          <t>OSKARSHAMN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46234</v>
      </c>
      <c r="F142" t="inlineStr">
        <is>
          <t>KALMAR LÄN</t>
        </is>
      </c>
      <c r="G142" t="inlineStr">
        <is>
          <t>OSKARSHAMN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45364</v>
      </c>
      <c r="E143" s="1" t="n">
        <v>46234</v>
      </c>
      <c r="F143" t="inlineStr">
        <is>
          <t>KALMAR LÄN</t>
        </is>
      </c>
      <c r="G143" t="inlineStr">
        <is>
          <t>OSKARSHAMN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46234</v>
      </c>
      <c r="F144" t="inlineStr">
        <is>
          <t>KALMAR LÄN</t>
        </is>
      </c>
      <c r="G144" t="inlineStr">
        <is>
          <t>OSKARSHAMN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45525</v>
      </c>
      <c r="E145" s="1" t="n">
        <v>46234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45233</v>
      </c>
      <c r="E146" s="1" t="n">
        <v>46234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53564-2023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46234</v>
      </c>
      <c r="F147" t="inlineStr">
        <is>
          <t>KALMAR LÄN</t>
        </is>
      </c>
      <c r="G147" t="inlineStr">
        <is>
          <t>OSKARSHAMN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46234</v>
      </c>
      <c r="F148" t="inlineStr">
        <is>
          <t>KALMAR LÄN</t>
        </is>
      </c>
      <c r="G148" t="inlineStr">
        <is>
          <t>OSKARSHAMN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50409-2025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45944</v>
      </c>
      <c r="E149" s="1" t="n">
        <v>46234</v>
      </c>
      <c r="F149" t="inlineStr">
        <is>
          <t>KALMAR LÄN</t>
        </is>
      </c>
      <c r="G149" t="inlineStr">
        <is>
          <t>OSKARSHAMN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45572</v>
      </c>
      <c r="E150" s="1" t="n">
        <v>46234</v>
      </c>
      <c r="F150" t="inlineStr">
        <is>
          <t>KALMAR LÄN</t>
        </is>
      </c>
      <c r="G150" t="inlineStr">
        <is>
          <t>OSKARSHAMN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45051</v>
      </c>
      <c r="E151" s="1" t="n">
        <v>46234</v>
      </c>
      <c r="F151" t="inlineStr">
        <is>
          <t>KALMAR LÄN</t>
        </is>
      </c>
      <c r="G151" t="inlineStr">
        <is>
          <t>OSKARSHAMN</t>
        </is>
      </c>
      <c r="H151" t="inlineStr">
        <is>
          <t>Kommuner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45708</v>
      </c>
      <c r="E152" s="1" t="n">
        <v>46234</v>
      </c>
      <c r="F152" t="inlineStr">
        <is>
          <t>KALMAR LÄN</t>
        </is>
      </c>
      <c r="G152" t="inlineStr">
        <is>
          <t>OSKARSHAMN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46234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46234</v>
      </c>
      <c r="F154" t="inlineStr">
        <is>
          <t>KALMAR LÄN</t>
        </is>
      </c>
      <c r="G154" t="inlineStr">
        <is>
          <t>OSKARSHAMN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46234</v>
      </c>
      <c r="F155" t="inlineStr">
        <is>
          <t>KALMAR LÄN</t>
        </is>
      </c>
      <c r="G155" t="inlineStr">
        <is>
          <t>OSKARSHAMN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46234</v>
      </c>
      <c r="F156" t="inlineStr">
        <is>
          <t>KALMAR LÄN</t>
        </is>
      </c>
      <c r="G156" t="inlineStr">
        <is>
          <t>OSKARSHAMN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45754</v>
      </c>
      <c r="E157" s="1" t="n">
        <v>46234</v>
      </c>
      <c r="F157" t="inlineStr">
        <is>
          <t>KALMAR LÄN</t>
        </is>
      </c>
      <c r="G157" t="inlineStr">
        <is>
          <t>OSKARSHAMN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46234</v>
      </c>
      <c r="F158" t="inlineStr">
        <is>
          <t>KALMAR LÄN</t>
        </is>
      </c>
      <c r="G158" t="inlineStr">
        <is>
          <t>OSKARSHAMN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46234</v>
      </c>
      <c r="F159" t="inlineStr">
        <is>
          <t>KALMAR LÄN</t>
        </is>
      </c>
      <c r="G159" t="inlineStr">
        <is>
          <t>OSKARSHAMN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46234</v>
      </c>
      <c r="F160" t="inlineStr">
        <is>
          <t>KALMAR LÄN</t>
        </is>
      </c>
      <c r="G160" t="inlineStr">
        <is>
          <t>OSKARSHAMN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45784</v>
      </c>
      <c r="E161" s="1" t="n">
        <v>46234</v>
      </c>
      <c r="F161" t="inlineStr">
        <is>
          <t>KALMAR LÄN</t>
        </is>
      </c>
      <c r="G161" t="inlineStr">
        <is>
          <t>OSKARSHAMN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46234</v>
      </c>
      <c r="F162" t="inlineStr">
        <is>
          <t>KALMAR LÄN</t>
        </is>
      </c>
      <c r="G162" t="inlineStr">
        <is>
          <t>OSKARSHAMN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45204</v>
      </c>
      <c r="E163" s="1" t="n">
        <v>46234</v>
      </c>
      <c r="F163" t="inlineStr">
        <is>
          <t>KALMAR LÄN</t>
        </is>
      </c>
      <c r="G163" t="inlineStr">
        <is>
          <t>OSKARSHAMN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46234</v>
      </c>
      <c r="F164" t="inlineStr">
        <is>
          <t>KALMAR LÄN</t>
        </is>
      </c>
      <c r="G164" t="inlineStr">
        <is>
          <t>OSKARSHAMN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45372</v>
      </c>
      <c r="E165" s="1" t="n">
        <v>46234</v>
      </c>
      <c r="F165" t="inlineStr">
        <is>
          <t>KALMAR LÄN</t>
        </is>
      </c>
      <c r="G165" t="inlineStr">
        <is>
          <t>OSKARSHAMN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46234</v>
      </c>
      <c r="F166" t="inlineStr">
        <is>
          <t>KALMAR LÄN</t>
        </is>
      </c>
      <c r="G166" t="inlineStr">
        <is>
          <t>OSKARSHAMN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41857-2025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45902</v>
      </c>
      <c r="E167" s="1" t="n">
        <v>46234</v>
      </c>
      <c r="F167" t="inlineStr">
        <is>
          <t>KALMAR LÄN</t>
        </is>
      </c>
      <c r="G167" t="inlineStr">
        <is>
          <t>OSKARSHAMN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46234</v>
      </c>
      <c r="F168" t="inlineStr">
        <is>
          <t>KALMAR LÄN</t>
        </is>
      </c>
      <c r="G168" t="inlineStr">
        <is>
          <t>OSKARSHAMN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45523</v>
      </c>
      <c r="E169" s="1" t="n">
        <v>46234</v>
      </c>
      <c r="F169" t="inlineStr">
        <is>
          <t>KALMAR LÄN</t>
        </is>
      </c>
      <c r="G169" t="inlineStr">
        <is>
          <t>OSKARSHAMN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46234</v>
      </c>
      <c r="F170" t="inlineStr">
        <is>
          <t>KALMAR LÄN</t>
        </is>
      </c>
      <c r="G170" t="inlineStr">
        <is>
          <t>OSKARSHAMN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44995</v>
      </c>
      <c r="E171" s="1" t="n">
        <v>46234</v>
      </c>
      <c r="F171" t="inlineStr">
        <is>
          <t>KALMAR LÄN</t>
        </is>
      </c>
      <c r="G171" t="inlineStr">
        <is>
          <t>OSKARSHAMN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42693-2025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45908</v>
      </c>
      <c r="E172" s="1" t="n">
        <v>46234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46234</v>
      </c>
      <c r="F173" t="inlineStr">
        <is>
          <t>KALMAR LÄN</t>
        </is>
      </c>
      <c r="G173" t="inlineStr">
        <is>
          <t>OSKARSHAMN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42751-2025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45908</v>
      </c>
      <c r="E174" s="1" t="n">
        <v>46234</v>
      </c>
      <c r="F174" t="inlineStr">
        <is>
          <t>KALMAR LÄN</t>
        </is>
      </c>
      <c r="G174" t="inlineStr">
        <is>
          <t>OSKARSHAMN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46234</v>
      </c>
      <c r="F175" t="inlineStr">
        <is>
          <t>KALMAR LÄN</t>
        </is>
      </c>
      <c r="G175" t="inlineStr">
        <is>
          <t>OSKARSHAMN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44818</v>
      </c>
      <c r="E176" s="1" t="n">
        <v>46234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44951</v>
      </c>
      <c r="E177" s="1" t="n">
        <v>46234</v>
      </c>
      <c r="F177" t="inlineStr">
        <is>
          <t>KALMAR LÄN</t>
        </is>
      </c>
      <c r="G177" t="inlineStr">
        <is>
          <t>OSKARSHAMN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45489</v>
      </c>
      <c r="E178" s="1" t="n">
        <v>46234</v>
      </c>
      <c r="F178" t="inlineStr">
        <is>
          <t>KALMAR LÄN</t>
        </is>
      </c>
      <c r="G178" t="inlineStr">
        <is>
          <t>OSKARSHAMN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45490</v>
      </c>
      <c r="E179" s="1" t="n">
        <v>46234</v>
      </c>
      <c r="F179" t="inlineStr">
        <is>
          <t>KALMAR LÄN</t>
        </is>
      </c>
      <c r="G179" t="inlineStr">
        <is>
          <t>OSKARSHAMN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46234</v>
      </c>
      <c r="F180" t="inlineStr">
        <is>
          <t>KALMAR LÄN</t>
        </is>
      </c>
      <c r="G180" t="inlineStr">
        <is>
          <t>OSKARSHAMN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46234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46234</v>
      </c>
      <c r="F182" t="inlineStr">
        <is>
          <t>KALMAR LÄN</t>
        </is>
      </c>
      <c r="G182" t="inlineStr">
        <is>
          <t>OSKARSHAMN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45022</v>
      </c>
      <c r="E183" s="1" t="n">
        <v>46234</v>
      </c>
      <c r="F183" t="inlineStr">
        <is>
          <t>KALMAR LÄN</t>
        </is>
      </c>
      <c r="G183" t="inlineStr">
        <is>
          <t>OSKARSHAMN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45253</v>
      </c>
      <c r="E184" s="1" t="n">
        <v>46234</v>
      </c>
      <c r="F184" t="inlineStr">
        <is>
          <t>KALMAR LÄN</t>
        </is>
      </c>
      <c r="G184" t="inlineStr">
        <is>
          <t>OSKARSHAMN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45408</v>
      </c>
      <c r="E185" s="1" t="n">
        <v>46234</v>
      </c>
      <c r="F185" t="inlineStr">
        <is>
          <t>KALMAR LÄN</t>
        </is>
      </c>
      <c r="G185" t="inlineStr">
        <is>
          <t>OSKARSHAMN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26127-2025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45805</v>
      </c>
      <c r="E186" s="1" t="n">
        <v>46234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46234</v>
      </c>
      <c r="F187" t="inlineStr">
        <is>
          <t>KALMAR LÄN</t>
        </is>
      </c>
      <c r="G187" t="inlineStr">
        <is>
          <t>OSKARSHAMN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46234</v>
      </c>
      <c r="F188" t="inlineStr">
        <is>
          <t>KALMAR LÄN</t>
        </is>
      </c>
      <c r="G188" t="inlineStr">
        <is>
          <t>OSKARSHAMN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46234</v>
      </c>
      <c r="F189" t="inlineStr">
        <is>
          <t>KALMAR LÄN</t>
        </is>
      </c>
      <c r="G189" t="inlineStr">
        <is>
          <t>OSKARSHAMN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46234</v>
      </c>
      <c r="F190" t="inlineStr">
        <is>
          <t>KALMAR LÄN</t>
        </is>
      </c>
      <c r="G190" t="inlineStr">
        <is>
          <t>OSKARSHAMN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46234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44963</v>
      </c>
      <c r="E192" s="1" t="n">
        <v>46234</v>
      </c>
      <c r="F192" t="inlineStr">
        <is>
          <t>KALMAR LÄN</t>
        </is>
      </c>
      <c r="G192" t="inlineStr">
        <is>
          <t>OSKARSHAMN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45019</v>
      </c>
      <c r="E193" s="1" t="n">
        <v>46234</v>
      </c>
      <c r="F193" t="inlineStr">
        <is>
          <t>KALMAR LÄN</t>
        </is>
      </c>
      <c r="G193" t="inlineStr">
        <is>
          <t>OSKARSHAMN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46234</v>
      </c>
      <c r="F194" t="inlineStr">
        <is>
          <t>KALMAR LÄN</t>
        </is>
      </c>
      <c r="G194" t="inlineStr">
        <is>
          <t>OSKARSHAMN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46234</v>
      </c>
      <c r="F195" t="inlineStr">
        <is>
          <t>KALMAR LÄN</t>
        </is>
      </c>
      <c r="G195" t="inlineStr">
        <is>
          <t>OSKARSHAMN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46234</v>
      </c>
      <c r="F196" t="inlineStr">
        <is>
          <t>KALMAR LÄN</t>
        </is>
      </c>
      <c r="G196" t="inlineStr">
        <is>
          <t>OSKARSHAMN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46234</v>
      </c>
      <c r="F197" t="inlineStr">
        <is>
          <t>KALMAR LÄN</t>
        </is>
      </c>
      <c r="G197" t="inlineStr">
        <is>
          <t>OSKARSHAMN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46234</v>
      </c>
      <c r="F198" t="inlineStr">
        <is>
          <t>KALMAR LÄN</t>
        </is>
      </c>
      <c r="G198" t="inlineStr">
        <is>
          <t>OSKARSHAMN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46234</v>
      </c>
      <c r="F199" t="inlineStr">
        <is>
          <t>KALMAR LÄN</t>
        </is>
      </c>
      <c r="G199" t="inlineStr">
        <is>
          <t>OSKARSHAMN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46234</v>
      </c>
      <c r="F200" t="inlineStr">
        <is>
          <t>KALMAR LÄN</t>
        </is>
      </c>
      <c r="G200" t="inlineStr">
        <is>
          <t>OSKARSHAMN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46234</v>
      </c>
      <c r="F201" t="inlineStr">
        <is>
          <t>KALMAR LÄN</t>
        </is>
      </c>
      <c r="G201" t="inlineStr">
        <is>
          <t>OSKARSHAMN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45482</v>
      </c>
      <c r="E202" s="1" t="n">
        <v>46234</v>
      </c>
      <c r="F202" t="inlineStr">
        <is>
          <t>KALMAR LÄN</t>
        </is>
      </c>
      <c r="G202" t="inlineStr">
        <is>
          <t>OSKARSHAMN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46234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47163-2025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46234</v>
      </c>
      <c r="F204" t="inlineStr">
        <is>
          <t>KALMAR LÄN</t>
        </is>
      </c>
      <c r="G204" t="inlineStr">
        <is>
          <t>OSKARSHAMN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46234</v>
      </c>
      <c r="F205" t="inlineStr">
        <is>
          <t>KALMAR LÄN</t>
        </is>
      </c>
      <c r="G205" t="inlineStr">
        <is>
          <t>OSKARSHAMN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46234</v>
      </c>
      <c r="F206" t="inlineStr">
        <is>
          <t>KALMAR LÄN</t>
        </is>
      </c>
      <c r="G206" t="inlineStr">
        <is>
          <t>OSKARSHAMN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46234</v>
      </c>
      <c r="F207" t="inlineStr">
        <is>
          <t>KALMAR LÄN</t>
        </is>
      </c>
      <c r="G207" t="inlineStr">
        <is>
          <t>OSKARSHAMN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46234</v>
      </c>
      <c r="F208" t="inlineStr">
        <is>
          <t>KALMAR LÄN</t>
        </is>
      </c>
      <c r="G208" t="inlineStr">
        <is>
          <t>OSKARSHAMN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46234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46234</v>
      </c>
      <c r="F210" t="inlineStr">
        <is>
          <t>KALMAR LÄN</t>
        </is>
      </c>
      <c r="G210" t="inlineStr">
        <is>
          <t>OSKARSHAMN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46603-2023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46234</v>
      </c>
      <c r="F211" t="inlineStr">
        <is>
          <t>KALMAR LÄN</t>
        </is>
      </c>
      <c r="G211" t="inlineStr">
        <is>
          <t>OSKARSHAMN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46234</v>
      </c>
      <c r="F212" t="inlineStr">
        <is>
          <t>KALMAR LÄN</t>
        </is>
      </c>
      <c r="G212" t="inlineStr">
        <is>
          <t>OSKARSHAMN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46234</v>
      </c>
      <c r="F213" t="inlineStr">
        <is>
          <t>KALMAR LÄN</t>
        </is>
      </c>
      <c r="G213" t="inlineStr">
        <is>
          <t>OSKARSHAMN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46234</v>
      </c>
      <c r="F214" t="inlineStr">
        <is>
          <t>KALMAR LÄN</t>
        </is>
      </c>
      <c r="G214" t="inlineStr">
        <is>
          <t>OSKARSHAMN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45294</v>
      </c>
      <c r="E215" s="1" t="n">
        <v>46234</v>
      </c>
      <c r="F215" t="inlineStr">
        <is>
          <t>KALMAR LÄN</t>
        </is>
      </c>
      <c r="G215" t="inlineStr">
        <is>
          <t>OSKARSHAMN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46234</v>
      </c>
      <c r="F216" t="inlineStr">
        <is>
          <t>KALMAR LÄN</t>
        </is>
      </c>
      <c r="G216" t="inlineStr">
        <is>
          <t>OSKARSHAMN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46234</v>
      </c>
      <c r="F217" t="inlineStr">
        <is>
          <t>KALMAR LÄN</t>
        </is>
      </c>
      <c r="G217" t="inlineStr">
        <is>
          <t>OSKARSHAMN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46234</v>
      </c>
      <c r="F218" t="inlineStr">
        <is>
          <t>KALMAR LÄN</t>
        </is>
      </c>
      <c r="G218" t="inlineStr">
        <is>
          <t>OSKARSHAMN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46234</v>
      </c>
      <c r="F219" t="inlineStr">
        <is>
          <t>KALMAR LÄN</t>
        </is>
      </c>
      <c r="G219" t="inlineStr">
        <is>
          <t>OSKARSHAMN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45408</v>
      </c>
      <c r="E220" s="1" t="n">
        <v>46234</v>
      </c>
      <c r="F220" t="inlineStr">
        <is>
          <t>KALMAR LÄN</t>
        </is>
      </c>
      <c r="G220" t="inlineStr">
        <is>
          <t>OSKARSHAMN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46234</v>
      </c>
      <c r="F221" t="inlineStr">
        <is>
          <t>KALMAR LÄN</t>
        </is>
      </c>
      <c r="G221" t="inlineStr">
        <is>
          <t>OSKARSHAMN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46234</v>
      </c>
      <c r="F222" t="inlineStr">
        <is>
          <t>KALMAR LÄN</t>
        </is>
      </c>
      <c r="G222" t="inlineStr">
        <is>
          <t>OSKARSHAMN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46234</v>
      </c>
      <c r="F223" t="inlineStr">
        <is>
          <t>KALMAR LÄN</t>
        </is>
      </c>
      <c r="G223" t="inlineStr">
        <is>
          <t>OSKARSHAMN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46234</v>
      </c>
      <c r="F224" t="inlineStr">
        <is>
          <t>KALMAR LÄN</t>
        </is>
      </c>
      <c r="G224" t="inlineStr">
        <is>
          <t>OSKARSHAMN</t>
        </is>
      </c>
      <c r="I224" t="n">
        <v>11.7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46234</v>
      </c>
      <c r="F225" t="inlineStr">
        <is>
          <t>KALMAR LÄN</t>
        </is>
      </c>
      <c r="G225" t="inlineStr">
        <is>
          <t>OSKARSHAMN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46234</v>
      </c>
      <c r="F226" t="inlineStr">
        <is>
          <t>KALMAR LÄN</t>
        </is>
      </c>
      <c r="G226" t="inlineStr">
        <is>
          <t>OSKARSHAMN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45207</v>
      </c>
      <c r="E227" s="1" t="n">
        <v>46234</v>
      </c>
      <c r="F227" t="inlineStr">
        <is>
          <t>KALMAR LÄN</t>
        </is>
      </c>
      <c r="G227" t="inlineStr">
        <is>
          <t>OSKARSHAMN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53970-2025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46234</v>
      </c>
      <c r="F228" t="inlineStr">
        <is>
          <t>KALMAR LÄN</t>
        </is>
      </c>
      <c r="G228" t="inlineStr">
        <is>
          <t>OSKARSHAMN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46234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45691</v>
      </c>
      <c r="E230" s="1" t="n">
        <v>46234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46234</v>
      </c>
      <c r="F231" t="inlineStr">
        <is>
          <t>KALMAR LÄN</t>
        </is>
      </c>
      <c r="G231" t="inlineStr">
        <is>
          <t>OSKARSHAMN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46234</v>
      </c>
      <c r="F232" t="inlineStr">
        <is>
          <t>KALMAR LÄN</t>
        </is>
      </c>
      <c r="G232" t="inlineStr">
        <is>
          <t>OSKARSHAMN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45610</v>
      </c>
      <c r="E233" s="1" t="n">
        <v>46234</v>
      </c>
      <c r="F233" t="inlineStr">
        <is>
          <t>KALMAR LÄN</t>
        </is>
      </c>
      <c r="G233" t="inlineStr">
        <is>
          <t>OSKARSHAMN</t>
        </is>
      </c>
      <c r="I233" t="n">
        <v>11.6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45385</v>
      </c>
      <c r="E234" s="1" t="n">
        <v>46234</v>
      </c>
      <c r="F234" t="inlineStr">
        <is>
          <t>KALMAR LÄN</t>
        </is>
      </c>
      <c r="G234" t="inlineStr">
        <is>
          <t>OSKARSHAMN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46234</v>
      </c>
      <c r="F235" t="inlineStr">
        <is>
          <t>KALMAR LÄN</t>
        </is>
      </c>
      <c r="G235" t="inlineStr">
        <is>
          <t>OSKARSHAMN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46234</v>
      </c>
      <c r="F236" t="inlineStr">
        <is>
          <t>KALMAR LÄN</t>
        </is>
      </c>
      <c r="G236" t="inlineStr">
        <is>
          <t>OSKARSHAMN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46234</v>
      </c>
      <c r="F237" t="inlineStr">
        <is>
          <t>KALMAR LÄN</t>
        </is>
      </c>
      <c r="G237" t="inlineStr">
        <is>
          <t>OSKARSHAMN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46234</v>
      </c>
      <c r="F238" t="inlineStr">
        <is>
          <t>KALMAR LÄN</t>
        </is>
      </c>
      <c r="G238" t="inlineStr">
        <is>
          <t>OSKARSHAMN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15875-2022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44664</v>
      </c>
      <c r="E239" s="1" t="n">
        <v>46234</v>
      </c>
      <c r="F239" t="inlineStr">
        <is>
          <t>KALMAR LÄN</t>
        </is>
      </c>
      <c r="G239" t="inlineStr">
        <is>
          <t>OSKARSHAMN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61028-2024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46234</v>
      </c>
      <c r="F240" t="inlineStr">
        <is>
          <t>KALMAR LÄN</t>
        </is>
      </c>
      <c r="G240" t="inlineStr">
        <is>
          <t>OSKARSHAMN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15754-2022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44663</v>
      </c>
      <c r="E241" s="1" t="n">
        <v>46234</v>
      </c>
      <c r="F241" t="inlineStr">
        <is>
          <t>KALMAR LÄN</t>
        </is>
      </c>
      <c r="G241" t="inlineStr">
        <is>
          <t>OSKARSHAMN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46234</v>
      </c>
      <c r="F242" t="inlineStr">
        <is>
          <t>KALMAR LÄN</t>
        </is>
      </c>
      <c r="G242" t="inlineStr">
        <is>
          <t>OSKARSHAMN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46234</v>
      </c>
      <c r="F243" t="inlineStr">
        <is>
          <t>KALMAR LÄN</t>
        </is>
      </c>
      <c r="G243" t="inlineStr">
        <is>
          <t>OSKARSHAMN</t>
        </is>
      </c>
      <c r="I243" t="n">
        <v>15.3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45323</v>
      </c>
      <c r="E244" s="1" t="n">
        <v>46234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46234</v>
      </c>
      <c r="F245" t="inlineStr">
        <is>
          <t>KALMAR LÄN</t>
        </is>
      </c>
      <c r="G245" t="inlineStr">
        <is>
          <t>OSKARSHAMN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45043</v>
      </c>
      <c r="E246" s="1" t="n">
        <v>46234</v>
      </c>
      <c r="F246" t="inlineStr">
        <is>
          <t>KALMAR LÄN</t>
        </is>
      </c>
      <c r="G246" t="inlineStr">
        <is>
          <t>OSKARSHAMN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45110</v>
      </c>
      <c r="E247" s="1" t="n">
        <v>46234</v>
      </c>
      <c r="F247" t="inlineStr">
        <is>
          <t>KALMAR LÄN</t>
        </is>
      </c>
      <c r="G247" t="inlineStr">
        <is>
          <t>OSKARSHAMN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46234</v>
      </c>
      <c r="F248" t="inlineStr">
        <is>
          <t>KALMAR LÄN</t>
        </is>
      </c>
      <c r="G248" t="inlineStr">
        <is>
          <t>OSKARSHAMN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45168</v>
      </c>
      <c r="E249" s="1" t="n">
        <v>46234</v>
      </c>
      <c r="F249" t="inlineStr">
        <is>
          <t>KALMAR LÄN</t>
        </is>
      </c>
      <c r="G249" t="inlineStr">
        <is>
          <t>OSKARSHAMN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46234</v>
      </c>
      <c r="F250" t="inlineStr">
        <is>
          <t>KALMAR LÄN</t>
        </is>
      </c>
      <c r="G250" t="inlineStr">
        <is>
          <t>OSKARSHAMN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44602</v>
      </c>
      <c r="E251" s="1" t="n">
        <v>46234</v>
      </c>
      <c r="F251" t="inlineStr">
        <is>
          <t>KALMAR LÄN</t>
        </is>
      </c>
      <c r="G251" t="inlineStr">
        <is>
          <t>OSKARSHAMN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46234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46234</v>
      </c>
      <c r="F253" t="inlineStr">
        <is>
          <t>KALMAR LÄN</t>
        </is>
      </c>
      <c r="G253" t="inlineStr">
        <is>
          <t>OSKARSHAMN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46234</v>
      </c>
      <c r="F254" t="inlineStr">
        <is>
          <t>KALMAR LÄN</t>
        </is>
      </c>
      <c r="G254" t="inlineStr">
        <is>
          <t>OSKARSHAMN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46234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45021</v>
      </c>
      <c r="E256" s="1" t="n">
        <v>46234</v>
      </c>
      <c r="F256" t="inlineStr">
        <is>
          <t>KALMAR LÄN</t>
        </is>
      </c>
      <c r="G256" t="inlineStr">
        <is>
          <t>OSKARSHAMN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46234</v>
      </c>
      <c r="F257" t="inlineStr">
        <is>
          <t>KALMAR LÄN</t>
        </is>
      </c>
      <c r="G257" t="inlineStr">
        <is>
          <t>OSKARSHAMN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46234</v>
      </c>
      <c r="F258" t="inlineStr">
        <is>
          <t>KALMAR LÄN</t>
        </is>
      </c>
      <c r="G258" t="inlineStr">
        <is>
          <t>OSKARSHAMN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46234</v>
      </c>
      <c r="F259" t="inlineStr">
        <is>
          <t>KALMAR LÄN</t>
        </is>
      </c>
      <c r="G259" t="inlineStr">
        <is>
          <t>OSKARSHAMN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44711</v>
      </c>
      <c r="E260" s="1" t="n">
        <v>46234</v>
      </c>
      <c r="F260" t="inlineStr">
        <is>
          <t>KALMAR LÄN</t>
        </is>
      </c>
      <c r="G260" t="inlineStr">
        <is>
          <t>OSKARSHAMN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44818</v>
      </c>
      <c r="E261" s="1" t="n">
        <v>46234</v>
      </c>
      <c r="F261" t="inlineStr">
        <is>
          <t>KALMAR LÄN</t>
        </is>
      </c>
      <c r="G261" t="inlineStr">
        <is>
          <t>OSKARSHAMN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46234</v>
      </c>
      <c r="F262" t="inlineStr">
        <is>
          <t>KALMAR LÄN</t>
        </is>
      </c>
      <c r="G262" t="inlineStr">
        <is>
          <t>OSKARSHAMN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46234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44862</v>
      </c>
      <c r="E264" s="1" t="n">
        <v>46234</v>
      </c>
      <c r="F264" t="inlineStr">
        <is>
          <t>KALMAR LÄN</t>
        </is>
      </c>
      <c r="G264" t="inlineStr">
        <is>
          <t>OSKARSHAMN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46234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46392-2021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44443</v>
      </c>
      <c r="E266" s="1" t="n">
        <v>46234</v>
      </c>
      <c r="F266" t="inlineStr">
        <is>
          <t>KALMAR LÄN</t>
        </is>
      </c>
      <c r="G266" t="inlineStr">
        <is>
          <t>OSKARSHAMN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46234</v>
      </c>
      <c r="F267" t="inlineStr">
        <is>
          <t>KALMAR LÄN</t>
        </is>
      </c>
      <c r="G267" t="inlineStr">
        <is>
          <t>OSKARSHAMN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46234</v>
      </c>
      <c r="F268" t="inlineStr">
        <is>
          <t>KALMAR LÄN</t>
        </is>
      </c>
      <c r="G268" t="inlineStr">
        <is>
          <t>OSKARSHAMN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45337</v>
      </c>
      <c r="E269" s="1" t="n">
        <v>46234</v>
      </c>
      <c r="F269" t="inlineStr">
        <is>
          <t>KALMAR LÄN</t>
        </is>
      </c>
      <c r="G269" t="inlineStr">
        <is>
          <t>OSKARSHAMN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45034</v>
      </c>
      <c r="E270" s="1" t="n">
        <v>46234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60871-2022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46234</v>
      </c>
      <c r="F271" t="inlineStr">
        <is>
          <t>KALMAR LÄN</t>
        </is>
      </c>
      <c r="G271" t="inlineStr">
        <is>
          <t>OSKARSHAMN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46234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46234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46234</v>
      </c>
      <c r="F274" t="inlineStr">
        <is>
          <t>KALMAR LÄN</t>
        </is>
      </c>
      <c r="G274" t="inlineStr">
        <is>
          <t>OSKARSHAMN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45113</v>
      </c>
      <c r="E275" s="1" t="n">
        <v>46234</v>
      </c>
      <c r="F275" t="inlineStr">
        <is>
          <t>KALMAR LÄN</t>
        </is>
      </c>
      <c r="G275" t="inlineStr">
        <is>
          <t>OSKARSHAMN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48582-2021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44452</v>
      </c>
      <c r="E276" s="1" t="n">
        <v>46234</v>
      </c>
      <c r="F276" t="inlineStr">
        <is>
          <t>KALMAR LÄN</t>
        </is>
      </c>
      <c r="G276" t="inlineStr">
        <is>
          <t>OSKARSHAMN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46234</v>
      </c>
      <c r="F277" t="inlineStr">
        <is>
          <t>KALMAR LÄN</t>
        </is>
      </c>
      <c r="G277" t="inlineStr">
        <is>
          <t>OSKARSHAMN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45274</v>
      </c>
      <c r="E278" s="1" t="n">
        <v>46234</v>
      </c>
      <c r="F278" t="inlineStr">
        <is>
          <t>KALMAR LÄN</t>
        </is>
      </c>
      <c r="G278" t="inlineStr">
        <is>
          <t>OSKARSHAMN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46234</v>
      </c>
      <c r="F279" t="inlineStr">
        <is>
          <t>KALMAR LÄN</t>
        </is>
      </c>
      <c r="G279" t="inlineStr">
        <is>
          <t>OSKARSHAMN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45007</v>
      </c>
      <c r="E280" s="1" t="n">
        <v>46234</v>
      </c>
      <c r="F280" t="inlineStr">
        <is>
          <t>KALMAR LÄN</t>
        </is>
      </c>
      <c r="G280" t="inlineStr">
        <is>
          <t>OSKARSHAMN</t>
        </is>
      </c>
      <c r="H280" t="inlineStr">
        <is>
          <t>Övriga Aktiebolag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44836</v>
      </c>
      <c r="E281" s="1" t="n">
        <v>46234</v>
      </c>
      <c r="F281" t="inlineStr">
        <is>
          <t>KALMAR LÄN</t>
        </is>
      </c>
      <c r="G281" t="inlineStr">
        <is>
          <t>OSKARSHAMN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45254</v>
      </c>
      <c r="E282" s="1" t="n">
        <v>46234</v>
      </c>
      <c r="F282" t="inlineStr">
        <is>
          <t>KALMAR LÄN</t>
        </is>
      </c>
      <c r="G282" t="inlineStr">
        <is>
          <t>OSKARSHAMN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53024-2021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44467</v>
      </c>
      <c r="E283" s="1" t="n">
        <v>46234</v>
      </c>
      <c r="F283" t="inlineStr">
        <is>
          <t>KALMAR LÄN</t>
        </is>
      </c>
      <c r="G283" t="inlineStr">
        <is>
          <t>OSKARSHAMN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44963</v>
      </c>
      <c r="E284" s="1" t="n">
        <v>46234</v>
      </c>
      <c r="F284" t="inlineStr">
        <is>
          <t>KALMAR LÄN</t>
        </is>
      </c>
      <c r="G284" t="inlineStr">
        <is>
          <t>OSKARSHAMN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50471-2023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46234</v>
      </c>
      <c r="F285" t="inlineStr">
        <is>
          <t>KALMAR LÄN</t>
        </is>
      </c>
      <c r="G285" t="inlineStr">
        <is>
          <t>OSKARSHAMN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46234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46234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46234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46234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46234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46234</v>
      </c>
      <c r="F291" t="inlineStr">
        <is>
          <t>KALMAR LÄN</t>
        </is>
      </c>
      <c r="G291" t="inlineStr">
        <is>
          <t>OSKARSHAMN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46234</v>
      </c>
      <c r="F292" t="inlineStr">
        <is>
          <t>KALMAR LÄN</t>
        </is>
      </c>
      <c r="G292" t="inlineStr">
        <is>
          <t>OSKARSHAMN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46234</v>
      </c>
      <c r="F293" t="inlineStr">
        <is>
          <t>KALMAR LÄN</t>
        </is>
      </c>
      <c r="G293" t="inlineStr">
        <is>
          <t>OSKARSHAMN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46234</v>
      </c>
      <c r="F294" t="inlineStr">
        <is>
          <t>KALMAR LÄN</t>
        </is>
      </c>
      <c r="G294" t="inlineStr">
        <is>
          <t>OSKARSHAMN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46234</v>
      </c>
      <c r="F295" t="inlineStr">
        <is>
          <t>KALMAR LÄN</t>
        </is>
      </c>
      <c r="G295" t="inlineStr">
        <is>
          <t>OSKARSHAMN</t>
        </is>
      </c>
      <c r="H295" t="inlineStr">
        <is>
          <t>Sveaskog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46234</v>
      </c>
      <c r="F296" t="inlineStr">
        <is>
          <t>KALMAR LÄN</t>
        </is>
      </c>
      <c r="G296" t="inlineStr">
        <is>
          <t>OSKARSHAMN</t>
        </is>
      </c>
      <c r="H296" t="inlineStr">
        <is>
          <t>Sveaskog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46234</v>
      </c>
      <c r="F297" t="inlineStr">
        <is>
          <t>KALMAR LÄN</t>
        </is>
      </c>
      <c r="G297" t="inlineStr">
        <is>
          <t>OSKARSHAMN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46234</v>
      </c>
      <c r="F298" t="inlineStr">
        <is>
          <t>KALMAR LÄN</t>
        </is>
      </c>
      <c r="G298" t="inlineStr">
        <is>
          <t>OSKARSHAMN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46234</v>
      </c>
      <c r="F299" t="inlineStr">
        <is>
          <t>KALMAR LÄN</t>
        </is>
      </c>
      <c r="G299" t="inlineStr">
        <is>
          <t>OSKARSHAMN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46234</v>
      </c>
      <c r="F300" t="inlineStr">
        <is>
          <t>KALMAR LÄN</t>
        </is>
      </c>
      <c r="G300" t="inlineStr">
        <is>
          <t>OSKARSHAMN</t>
        </is>
      </c>
      <c r="I300" t="n">
        <v>8.5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49592-2021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44455</v>
      </c>
      <c r="E301" s="1" t="n">
        <v>46234</v>
      </c>
      <c r="F301" t="inlineStr">
        <is>
          <t>KALMAR LÄN</t>
        </is>
      </c>
      <c r="G301" t="inlineStr">
        <is>
          <t>OSKARSHAMN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62931-2025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46234</v>
      </c>
      <c r="F302" t="inlineStr">
        <is>
          <t>KALMAR LÄN</t>
        </is>
      </c>
      <c r="G302" t="inlineStr">
        <is>
          <t>OSKARSHAMN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45530</v>
      </c>
      <c r="E303" s="1" t="n">
        <v>46234</v>
      </c>
      <c r="F303" t="inlineStr">
        <is>
          <t>KALMAR LÄN</t>
        </is>
      </c>
      <c r="G303" t="inlineStr">
        <is>
          <t>OSKARSHAMN</t>
        </is>
      </c>
      <c r="H303" t="inlineStr">
        <is>
          <t>Sveaskog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46234</v>
      </c>
      <c r="F304" t="inlineStr">
        <is>
          <t>KALMAR LÄN</t>
        </is>
      </c>
      <c r="G304" t="inlineStr">
        <is>
          <t>OSKARSHAMN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46234</v>
      </c>
      <c r="F305" t="inlineStr">
        <is>
          <t>KALMAR LÄN</t>
        </is>
      </c>
      <c r="G305" t="inlineStr">
        <is>
          <t>OSKARSHAMN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46234</v>
      </c>
      <c r="F306" t="inlineStr">
        <is>
          <t>KALMAR LÄN</t>
        </is>
      </c>
      <c r="G306" t="inlineStr">
        <is>
          <t>OSKARSHAMN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46234</v>
      </c>
      <c r="F307" t="inlineStr">
        <is>
          <t>KALMAR LÄN</t>
        </is>
      </c>
      <c r="G307" t="inlineStr">
        <is>
          <t>OSKARSHAMN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44564</v>
      </c>
      <c r="E308" s="1" t="n">
        <v>46234</v>
      </c>
      <c r="F308" t="inlineStr">
        <is>
          <t>KALMAR LÄN</t>
        </is>
      </c>
      <c r="G308" t="inlineStr">
        <is>
          <t>OSKARSHAMN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46234</v>
      </c>
      <c r="F309" t="inlineStr">
        <is>
          <t>KALMAR LÄN</t>
        </is>
      </c>
      <c r="G309" t="inlineStr">
        <is>
          <t>OSKARSHAMN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46234</v>
      </c>
      <c r="F310" t="inlineStr">
        <is>
          <t>KALMAR LÄN</t>
        </is>
      </c>
      <c r="G310" t="inlineStr">
        <is>
          <t>OSKARSHAMN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58401-2021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46234</v>
      </c>
      <c r="F311" t="inlineStr">
        <is>
          <t>KALMAR LÄN</t>
        </is>
      </c>
      <c r="G311" t="inlineStr">
        <is>
          <t>OSKARSHAMN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46234</v>
      </c>
      <c r="F312" t="inlineStr">
        <is>
          <t>KALMAR LÄN</t>
        </is>
      </c>
      <c r="G312" t="inlineStr">
        <is>
          <t>OSKARSHAMN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46234</v>
      </c>
      <c r="F313" t="inlineStr">
        <is>
          <t>KALMAR LÄN</t>
        </is>
      </c>
      <c r="G313" t="inlineStr">
        <is>
          <t>OSKARSHAMN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46234</v>
      </c>
      <c r="F314" t="inlineStr">
        <is>
          <t>KALMAR LÄN</t>
        </is>
      </c>
      <c r="G314" t="inlineStr">
        <is>
          <t>OSKARSHAMN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44994</v>
      </c>
      <c r="E315" s="1" t="n">
        <v>46234</v>
      </c>
      <c r="F315" t="inlineStr">
        <is>
          <t>KALMAR LÄN</t>
        </is>
      </c>
      <c r="G315" t="inlineStr">
        <is>
          <t>OSKARSHAMN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45209</v>
      </c>
      <c r="E316" s="1" t="n">
        <v>46234</v>
      </c>
      <c r="F316" t="inlineStr">
        <is>
          <t>KALMAR LÄN</t>
        </is>
      </c>
      <c r="G316" t="inlineStr">
        <is>
          <t>OSKARSHAMN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46234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46234</v>
      </c>
      <c r="F318" t="inlineStr">
        <is>
          <t>KALMAR LÄN</t>
        </is>
      </c>
      <c r="G318" t="inlineStr">
        <is>
          <t>OSKARSHAMN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8499-2023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44977</v>
      </c>
      <c r="E319" s="1" t="n">
        <v>46234</v>
      </c>
      <c r="F319" t="inlineStr">
        <is>
          <t>KALMAR LÄN</t>
        </is>
      </c>
      <c r="G319" t="inlineStr">
        <is>
          <t>OSKARSHAMN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46234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46234</v>
      </c>
      <c r="F321" t="inlineStr">
        <is>
          <t>KALMAR LÄN</t>
        </is>
      </c>
      <c r="G321" t="inlineStr">
        <is>
          <t>OSKARSHAMN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46234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8656-2022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44613</v>
      </c>
      <c r="E323" s="1" t="n">
        <v>46234</v>
      </c>
      <c r="F323" t="inlineStr">
        <is>
          <t>KALMAR LÄN</t>
        </is>
      </c>
      <c r="G323" t="inlineStr">
        <is>
          <t>OSKARSHAMN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46234</v>
      </c>
      <c r="F324" t="inlineStr">
        <is>
          <t>KALMAR LÄN</t>
        </is>
      </c>
      <c r="G324" t="inlineStr">
        <is>
          <t>OSKARSHAMN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71340-2021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46234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62995-2025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46009</v>
      </c>
      <c r="E326" s="1" t="n">
        <v>46234</v>
      </c>
      <c r="F326" t="inlineStr">
        <is>
          <t>KALMAR LÄN</t>
        </is>
      </c>
      <c r="G326" t="inlineStr">
        <is>
          <t>OSKARSHAMN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46234</v>
      </c>
      <c r="F327" t="inlineStr">
        <is>
          <t>KALMAR LÄN</t>
        </is>
      </c>
      <c r="G327" t="inlineStr">
        <is>
          <t>OSKARSHAMN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46234</v>
      </c>
      <c r="F328" t="inlineStr">
        <is>
          <t>KALMAR LÄN</t>
        </is>
      </c>
      <c r="G328" t="inlineStr">
        <is>
          <t>OSKARSHAMN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46058</v>
      </c>
      <c r="E329" s="1" t="n">
        <v>46234</v>
      </c>
      <c r="F329" t="inlineStr">
        <is>
          <t>KALMAR LÄN</t>
        </is>
      </c>
      <c r="G329" t="inlineStr">
        <is>
          <t>OSKARSHAMN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46234</v>
      </c>
      <c r="F330" t="inlineStr">
        <is>
          <t>KALMAR LÄN</t>
        </is>
      </c>
      <c r="G330" t="inlineStr">
        <is>
          <t>OSKARSHAMN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46234</v>
      </c>
      <c r="F331" t="inlineStr">
        <is>
          <t>KALMAR LÄN</t>
        </is>
      </c>
      <c r="G331" t="inlineStr">
        <is>
          <t>OSKARSHAMN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46234</v>
      </c>
      <c r="F332" t="inlineStr">
        <is>
          <t>KALMAR LÄN</t>
        </is>
      </c>
      <c r="G332" t="inlineStr">
        <is>
          <t>OSKARSHAMN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46234</v>
      </c>
      <c r="F333" t="inlineStr">
        <is>
          <t>KALMAR LÄN</t>
        </is>
      </c>
      <c r="G333" t="inlineStr">
        <is>
          <t>OSKARSHAMN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64476-2023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45280</v>
      </c>
      <c r="E334" s="1" t="n">
        <v>46234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46234</v>
      </c>
      <c r="F335" t="inlineStr">
        <is>
          <t>KALMAR LÄN</t>
        </is>
      </c>
      <c r="G335" t="inlineStr">
        <is>
          <t>OSKARSHAMN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46234</v>
      </c>
      <c r="F336" t="inlineStr">
        <is>
          <t>KALMAR LÄN</t>
        </is>
      </c>
      <c r="G336" t="inlineStr">
        <is>
          <t>OSKARSHAMN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8846-2023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44978</v>
      </c>
      <c r="E337" s="1" t="n">
        <v>46234</v>
      </c>
      <c r="F337" t="inlineStr">
        <is>
          <t>KALMAR LÄN</t>
        </is>
      </c>
      <c r="G337" t="inlineStr">
        <is>
          <t>OSKARSHAMN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45580</v>
      </c>
      <c r="E338" s="1" t="n">
        <v>46234</v>
      </c>
      <c r="F338" t="inlineStr">
        <is>
          <t>KALMAR LÄN</t>
        </is>
      </c>
      <c r="G338" t="inlineStr">
        <is>
          <t>OSKARSHAMN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46234</v>
      </c>
      <c r="F339" t="inlineStr">
        <is>
          <t>KALMAR LÄN</t>
        </is>
      </c>
      <c r="G339" t="inlineStr">
        <is>
          <t>OSKARSHAMN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46234</v>
      </c>
      <c r="F340" t="inlineStr">
        <is>
          <t>KALMAR LÄN</t>
        </is>
      </c>
      <c r="G340" t="inlineStr">
        <is>
          <t>OSKARSHAMN</t>
        </is>
      </c>
      <c r="H340" t="inlineStr">
        <is>
          <t>Kommuner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44621</v>
      </c>
      <c r="E341" s="1" t="n">
        <v>46234</v>
      </c>
      <c r="F341" t="inlineStr">
        <is>
          <t>KALMAR LÄN</t>
        </is>
      </c>
      <c r="G341" t="inlineStr">
        <is>
          <t>OSKARSHAMN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45320</v>
      </c>
      <c r="E342" s="1" t="n">
        <v>46234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61862-2022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46234</v>
      </c>
      <c r="F343" t="inlineStr">
        <is>
          <t>KALMAR LÄN</t>
        </is>
      </c>
      <c r="G343" t="inlineStr">
        <is>
          <t>OSKARSHAMN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45433</v>
      </c>
      <c r="E344" s="1" t="n">
        <v>46234</v>
      </c>
      <c r="F344" t="inlineStr">
        <is>
          <t>KALMAR LÄN</t>
        </is>
      </c>
      <c r="G344" t="inlineStr">
        <is>
          <t>OSKARSHAMN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22801-2024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45448</v>
      </c>
      <c r="E345" s="1" t="n">
        <v>46234</v>
      </c>
      <c r="F345" t="inlineStr">
        <is>
          <t>KALMAR LÄN</t>
        </is>
      </c>
      <c r="G345" t="inlineStr">
        <is>
          <t>OSKARSHAMN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45372</v>
      </c>
      <c r="E346" s="1" t="n">
        <v>46234</v>
      </c>
      <c r="F346" t="inlineStr">
        <is>
          <t>KALMAR LÄN</t>
        </is>
      </c>
      <c r="G346" t="inlineStr">
        <is>
          <t>OSKARSHAMN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72819-2021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46234</v>
      </c>
      <c r="F347" t="inlineStr">
        <is>
          <t>KALMAR LÄN</t>
        </is>
      </c>
      <c r="G347" t="inlineStr">
        <is>
          <t>OSKARSHAMN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44945</v>
      </c>
      <c r="E348" s="1" t="n">
        <v>46234</v>
      </c>
      <c r="F348" t="inlineStr">
        <is>
          <t>KALMAR LÄN</t>
        </is>
      </c>
      <c r="G348" t="inlineStr">
        <is>
          <t>OSKARSHAMN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45204</v>
      </c>
      <c r="E349" s="1" t="n">
        <v>46234</v>
      </c>
      <c r="F349" t="inlineStr">
        <is>
          <t>KALMAR LÄN</t>
        </is>
      </c>
      <c r="G349" t="inlineStr">
        <is>
          <t>OSKARSHAMN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46234</v>
      </c>
      <c r="F350" t="inlineStr">
        <is>
          <t>KALMAR LÄN</t>
        </is>
      </c>
      <c r="G350" t="inlineStr">
        <is>
          <t>OSKARSHAMN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49909-2022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44865</v>
      </c>
      <c r="E351" s="1" t="n">
        <v>46234</v>
      </c>
      <c r="F351" t="inlineStr">
        <is>
          <t>KALMAR LÄN</t>
        </is>
      </c>
      <c r="G351" t="inlineStr">
        <is>
          <t>OSKARSHAMN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20334-2024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45435</v>
      </c>
      <c r="E352" s="1" t="n">
        <v>46234</v>
      </c>
      <c r="F352" t="inlineStr">
        <is>
          <t>KALMAR LÄN</t>
        </is>
      </c>
      <c r="G352" t="inlineStr">
        <is>
          <t>OSKARSHAMN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12764-2026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46234</v>
      </c>
      <c r="F353" t="inlineStr">
        <is>
          <t>KALMAR LÄN</t>
        </is>
      </c>
      <c r="G353" t="inlineStr">
        <is>
          <t>OSKARSHAMN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45523</v>
      </c>
      <c r="E354" s="1" t="n">
        <v>46234</v>
      </c>
      <c r="F354" t="inlineStr">
        <is>
          <t>KALMAR LÄN</t>
        </is>
      </c>
      <c r="G354" t="inlineStr">
        <is>
          <t>OSKARSHAMN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46234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44621</v>
      </c>
      <c r="E356" s="1" t="n">
        <v>46234</v>
      </c>
      <c r="F356" t="inlineStr">
        <is>
          <t>KALMAR LÄN</t>
        </is>
      </c>
      <c r="G356" t="inlineStr">
        <is>
          <t>OSKARSHAMN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46234</v>
      </c>
      <c r="F357" t="inlineStr">
        <is>
          <t>KALMAR LÄN</t>
        </is>
      </c>
      <c r="G357" t="inlineStr">
        <is>
          <t>OSKARSHAMN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45373</v>
      </c>
      <c r="E358" s="1" t="n">
        <v>46234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27906-2023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46234</v>
      </c>
      <c r="F359" t="inlineStr">
        <is>
          <t>KALMAR LÄN</t>
        </is>
      </c>
      <c r="G359" t="inlineStr">
        <is>
          <t>OSKARSHAMN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46234</v>
      </c>
      <c r="F360" t="inlineStr">
        <is>
          <t>KALMAR LÄN</t>
        </is>
      </c>
      <c r="G360" t="inlineStr">
        <is>
          <t>OSKARSHAMN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46234</v>
      </c>
      <c r="F361" t="inlineStr">
        <is>
          <t>KALMAR LÄN</t>
        </is>
      </c>
      <c r="G361" t="inlineStr">
        <is>
          <t>OSKARSHAMN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46234</v>
      </c>
      <c r="F362" t="inlineStr">
        <is>
          <t>KALMAR LÄN</t>
        </is>
      </c>
      <c r="G362" t="inlineStr">
        <is>
          <t>OSKARSHAMN</t>
        </is>
      </c>
      <c r="I362" t="n">
        <v>11.2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46234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46234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46234</v>
      </c>
      <c r="F365" t="inlineStr">
        <is>
          <t>KALMAR LÄN</t>
        </is>
      </c>
      <c r="G365" t="inlineStr">
        <is>
          <t>OSKARSHAMN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46234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44995</v>
      </c>
      <c r="E367" s="1" t="n">
        <v>46234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44630</v>
      </c>
      <c r="E368" s="1" t="n">
        <v>46234</v>
      </c>
      <c r="F368" t="inlineStr">
        <is>
          <t>KALMAR LÄN</t>
        </is>
      </c>
      <c r="G368" t="inlineStr">
        <is>
          <t>OSKARSHAMN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7887-2023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44973</v>
      </c>
      <c r="E369" s="1" t="n">
        <v>46234</v>
      </c>
      <c r="F369" t="inlineStr">
        <is>
          <t>KALMAR LÄN</t>
        </is>
      </c>
      <c r="G369" t="inlineStr">
        <is>
          <t>OSKARSHAMN</t>
        </is>
      </c>
      <c r="H369" t="inlineStr">
        <is>
          <t>Övriga Aktiebolag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4097-2024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45323</v>
      </c>
      <c r="E370" s="1" t="n">
        <v>46234</v>
      </c>
      <c r="F370" t="inlineStr">
        <is>
          <t>KALMAR LÄN</t>
        </is>
      </c>
      <c r="G370" t="inlineStr">
        <is>
          <t>OSKARSHAMN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45002</v>
      </c>
      <c r="E371" s="1" t="n">
        <v>46234</v>
      </c>
      <c r="F371" t="inlineStr">
        <is>
          <t>KALMAR LÄN</t>
        </is>
      </c>
      <c r="G371" t="inlineStr">
        <is>
          <t>OSKARSHAMN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46234</v>
      </c>
      <c r="F372" t="inlineStr">
        <is>
          <t>KALMAR LÄN</t>
        </is>
      </c>
      <c r="G372" t="inlineStr">
        <is>
          <t>OSKARSHAMN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46234</v>
      </c>
      <c r="F373" t="inlineStr">
        <is>
          <t>KALMAR LÄN</t>
        </is>
      </c>
      <c r="G373" t="inlineStr">
        <is>
          <t>OSKARSHAMN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15525-2026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46106</v>
      </c>
      <c r="E374" s="1" t="n">
        <v>46234</v>
      </c>
      <c r="F374" t="inlineStr">
        <is>
          <t>KALMAR LÄN</t>
        </is>
      </c>
      <c r="G374" t="inlineStr">
        <is>
          <t>OSKARSHAMN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46234</v>
      </c>
      <c r="F375" t="inlineStr">
        <is>
          <t>KALMAR LÄN</t>
        </is>
      </c>
      <c r="G375" t="inlineStr">
        <is>
          <t>OSKARSHAMN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13204-2024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45386</v>
      </c>
      <c r="E376" s="1" t="n">
        <v>46234</v>
      </c>
      <c r="F376" t="inlineStr">
        <is>
          <t>KALMAR LÄN</t>
        </is>
      </c>
      <c r="G376" t="inlineStr">
        <is>
          <t>OSKARSHAMN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46234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46234</v>
      </c>
      <c r="F378" t="inlineStr">
        <is>
          <t>KALMAR LÄN</t>
        </is>
      </c>
      <c r="G378" t="inlineStr">
        <is>
          <t>OSKARSHAMN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46234</v>
      </c>
      <c r="F379" t="inlineStr">
        <is>
          <t>KALMAR LÄN</t>
        </is>
      </c>
      <c r="G379" t="inlineStr">
        <is>
          <t>OSKARSHAMN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49889-2021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44455</v>
      </c>
      <c r="E380" s="1" t="n">
        <v>46234</v>
      </c>
      <c r="F380" t="inlineStr">
        <is>
          <t>KALMAR LÄN</t>
        </is>
      </c>
      <c r="G380" t="inlineStr">
        <is>
          <t>OSKARSHAMN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45369</v>
      </c>
      <c r="E381" s="1" t="n">
        <v>46234</v>
      </c>
      <c r="F381" t="inlineStr">
        <is>
          <t>KALMAR LÄN</t>
        </is>
      </c>
      <c r="G381" t="inlineStr">
        <is>
          <t>OSKARSHAMN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46234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40255-2022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46234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45099</v>
      </c>
      <c r="E384" s="1" t="n">
        <v>46234</v>
      </c>
      <c r="F384" t="inlineStr">
        <is>
          <t>KALMAR LÄN</t>
        </is>
      </c>
      <c r="G384" t="inlineStr">
        <is>
          <t>OSKARSHAMN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44917</v>
      </c>
      <c r="E385" s="1" t="n">
        <v>46234</v>
      </c>
      <c r="F385" t="inlineStr">
        <is>
          <t>KALMAR LÄN</t>
        </is>
      </c>
      <c r="G385" t="inlineStr">
        <is>
          <t>OSKARSHAMN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46234</v>
      </c>
      <c r="F386" t="inlineStr">
        <is>
          <t>KALMAR LÄN</t>
        </is>
      </c>
      <c r="G386" t="inlineStr">
        <is>
          <t>OSKARSHAMN</t>
        </is>
      </c>
      <c r="H386" t="inlineStr">
        <is>
          <t>Kommuner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46234</v>
      </c>
      <c r="F387" t="inlineStr">
        <is>
          <t>KALMAR LÄN</t>
        </is>
      </c>
      <c r="G387" t="inlineStr">
        <is>
          <t>OSKARSHAMN</t>
        </is>
      </c>
      <c r="H387" t="inlineStr">
        <is>
          <t>Kommuner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46234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46234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46234</v>
      </c>
      <c r="F390" t="inlineStr">
        <is>
          <t>KALMAR LÄN</t>
        </is>
      </c>
      <c r="G390" t="inlineStr">
        <is>
          <t>OSKARSHAMN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46234</v>
      </c>
      <c r="F391" t="inlineStr">
        <is>
          <t>KALMAR LÄN</t>
        </is>
      </c>
      <c r="G391" t="inlineStr">
        <is>
          <t>OSKARSHAMN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44621</v>
      </c>
      <c r="E392" s="1" t="n">
        <v>46234</v>
      </c>
      <c r="F392" t="inlineStr">
        <is>
          <t>KALMAR LÄN</t>
        </is>
      </c>
      <c r="G392" t="inlineStr">
        <is>
          <t>OSKARSHAMN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17603-2026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46121</v>
      </c>
      <c r="E393" s="1" t="n">
        <v>46234</v>
      </c>
      <c r="F393" t="inlineStr">
        <is>
          <t>KALMAR LÄN</t>
        </is>
      </c>
      <c r="G393" t="inlineStr">
        <is>
          <t>OSKARSHAMN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46234</v>
      </c>
      <c r="F394" t="inlineStr">
        <is>
          <t>KALMAR LÄN</t>
        </is>
      </c>
      <c r="G394" t="inlineStr">
        <is>
          <t>OSKARSHAMN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46234</v>
      </c>
      <c r="F395" t="inlineStr">
        <is>
          <t>KALMAR LÄN</t>
        </is>
      </c>
      <c r="G395" t="inlineStr">
        <is>
          <t>OSKARSHAMN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46234</v>
      </c>
      <c r="F396" t="inlineStr">
        <is>
          <t>KALMAR LÄN</t>
        </is>
      </c>
      <c r="G396" t="inlineStr">
        <is>
          <t>OSKARSHAMN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45075</v>
      </c>
      <c r="E397" s="1" t="n">
        <v>46234</v>
      </c>
      <c r="F397" t="inlineStr">
        <is>
          <t>KALMAR LÄN</t>
        </is>
      </c>
      <c r="G397" t="inlineStr">
        <is>
          <t>OSKARSHAMN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45483</v>
      </c>
      <c r="E398" s="1" t="n">
        <v>46234</v>
      </c>
      <c r="F398" t="inlineStr">
        <is>
          <t>KALMAR LÄN</t>
        </is>
      </c>
      <c r="G398" t="inlineStr">
        <is>
          <t>OSKARSHAMN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46234</v>
      </c>
      <c r="F399" t="inlineStr">
        <is>
          <t>KALMAR LÄN</t>
        </is>
      </c>
      <c r="G399" t="inlineStr">
        <is>
          <t>OSKARSHAMN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46234</v>
      </c>
      <c r="F400" t="inlineStr">
        <is>
          <t>KALMAR LÄN</t>
        </is>
      </c>
      <c r="G400" t="inlineStr">
        <is>
          <t>OSKARSHAMN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46234</v>
      </c>
      <c r="F401" t="inlineStr">
        <is>
          <t>KALMAR LÄN</t>
        </is>
      </c>
      <c r="G401" t="inlineStr">
        <is>
          <t>OSKARSHAMN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46234</v>
      </c>
      <c r="F402" t="inlineStr">
        <is>
          <t>KALMAR LÄN</t>
        </is>
      </c>
      <c r="G402" t="inlineStr">
        <is>
          <t>OSKARSHAMN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73404-2021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44551</v>
      </c>
      <c r="E403" s="1" t="n">
        <v>46234</v>
      </c>
      <c r="F403" t="inlineStr">
        <is>
          <t>KALMAR LÄN</t>
        </is>
      </c>
      <c r="G403" t="inlineStr">
        <is>
          <t>OSKARSHAMN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46234</v>
      </c>
      <c r="F404" t="inlineStr">
        <is>
          <t>KALMAR LÄN</t>
        </is>
      </c>
      <c r="G404" t="inlineStr">
        <is>
          <t>OSKARSHAMN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18978-2026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46128</v>
      </c>
      <c r="E405" s="1" t="n">
        <v>46234</v>
      </c>
      <c r="F405" t="inlineStr">
        <is>
          <t>KALMAR LÄN</t>
        </is>
      </c>
      <c r="G405" t="inlineStr">
        <is>
          <t>OSKARSHAMN</t>
        </is>
      </c>
      <c r="H405" t="inlineStr">
        <is>
          <t>Kommuner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30230-2023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45110</v>
      </c>
      <c r="E406" s="1" t="n">
        <v>46234</v>
      </c>
      <c r="F406" t="inlineStr">
        <is>
          <t>KALMAR LÄN</t>
        </is>
      </c>
      <c r="G406" t="inlineStr">
        <is>
          <t>OSKARSHAMN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63711-2021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44505</v>
      </c>
      <c r="E407" s="1" t="n">
        <v>46234</v>
      </c>
      <c r="F407" t="inlineStr">
        <is>
          <t>KALMAR LÄN</t>
        </is>
      </c>
      <c r="G407" t="inlineStr">
        <is>
          <t>OSKARSHAMN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43165-2024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45567</v>
      </c>
      <c r="E408" s="1" t="n">
        <v>46234</v>
      </c>
      <c r="F408" t="inlineStr">
        <is>
          <t>KALMAR LÄN</t>
        </is>
      </c>
      <c r="G408" t="inlineStr">
        <is>
          <t>OSKARSHAMN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72786-2021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44547</v>
      </c>
      <c r="E409" s="1" t="n">
        <v>46234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46234</v>
      </c>
      <c r="F410" t="inlineStr">
        <is>
          <t>KALMAR LÄN</t>
        </is>
      </c>
      <c r="G410" t="inlineStr">
        <is>
          <t>OSKARSHAMN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19420-2026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46129</v>
      </c>
      <c r="E411" s="1" t="n">
        <v>46234</v>
      </c>
      <c r="F411" t="inlineStr">
        <is>
          <t>KALMAR LÄN</t>
        </is>
      </c>
      <c r="G411" t="inlineStr">
        <is>
          <t>OSKARSHAMN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45406</v>
      </c>
      <c r="E412" s="1" t="n">
        <v>46234</v>
      </c>
      <c r="F412" t="inlineStr">
        <is>
          <t>KALMAR LÄN</t>
        </is>
      </c>
      <c r="G412" t="inlineStr">
        <is>
          <t>OSKARSHAMN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45407</v>
      </c>
      <c r="E413" s="1" t="n">
        <v>46234</v>
      </c>
      <c r="F413" t="inlineStr">
        <is>
          <t>KALMAR LÄN</t>
        </is>
      </c>
      <c r="G413" t="inlineStr">
        <is>
          <t>OSKARSHAMN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45056</v>
      </c>
      <c r="E414" s="1" t="n">
        <v>46234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45644</v>
      </c>
      <c r="E415" s="1" t="n">
        <v>46234</v>
      </c>
      <c r="F415" t="inlineStr">
        <is>
          <t>KALMAR LÄN</t>
        </is>
      </c>
      <c r="G415" t="inlineStr">
        <is>
          <t>OSKARSHAMN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45090</v>
      </c>
      <c r="E416" s="1" t="n">
        <v>46234</v>
      </c>
      <c r="F416" t="inlineStr">
        <is>
          <t>KALMAR LÄN</t>
        </is>
      </c>
      <c r="G416" t="inlineStr">
        <is>
          <t>OSKARSHAMN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46234</v>
      </c>
      <c r="F417" t="inlineStr">
        <is>
          <t>KALMAR LÄN</t>
        </is>
      </c>
      <c r="G417" t="inlineStr">
        <is>
          <t>OSKARSHAMN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29755-2022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44755</v>
      </c>
      <c r="E418" s="1" t="n">
        <v>46234</v>
      </c>
      <c r="F418" t="inlineStr">
        <is>
          <t>KALMAR LÄN</t>
        </is>
      </c>
      <c r="G418" t="inlineStr">
        <is>
          <t>OSKARSHAMN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50572-2024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45601</v>
      </c>
      <c r="E419" s="1" t="n">
        <v>46234</v>
      </c>
      <c r="F419" t="inlineStr">
        <is>
          <t>KALMAR LÄN</t>
        </is>
      </c>
      <c r="G419" t="inlineStr">
        <is>
          <t>OSKARSHAMN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46234</v>
      </c>
      <c r="F420" t="inlineStr">
        <is>
          <t>KALMAR LÄN</t>
        </is>
      </c>
      <c r="G420" t="inlineStr">
        <is>
          <t>OSKARSHAMN</t>
        </is>
      </c>
      <c r="I420" t="n">
        <v>11.8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45240</v>
      </c>
      <c r="E421" s="1" t="n">
        <v>46234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45687</v>
      </c>
      <c r="E422" s="1" t="n">
        <v>46234</v>
      </c>
      <c r="F422" t="inlineStr">
        <is>
          <t>KALMAR LÄN</t>
        </is>
      </c>
      <c r="G422" t="inlineStr">
        <is>
          <t>OSKARSHAMN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57254-2025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46234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46234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47638-2025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45931</v>
      </c>
      <c r="E425" s="1" t="n">
        <v>46234</v>
      </c>
      <c r="F425" t="inlineStr">
        <is>
          <t>KALMAR LÄN</t>
        </is>
      </c>
      <c r="G425" t="inlineStr">
        <is>
          <t>OSKARSHAMN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46234</v>
      </c>
      <c r="F426" t="inlineStr">
        <is>
          <t>KALMAR LÄN</t>
        </is>
      </c>
      <c r="G426" t="inlineStr">
        <is>
          <t>OSKARSHAMN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45832</v>
      </c>
      <c r="E427" s="1" t="n">
        <v>46234</v>
      </c>
      <c r="F427" t="inlineStr">
        <is>
          <t>KALMAR LÄN</t>
        </is>
      </c>
      <c r="G427" t="inlineStr">
        <is>
          <t>OSKARSHAMN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59710-2021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46234</v>
      </c>
      <c r="F428" t="inlineStr">
        <is>
          <t>KALMAR LÄN</t>
        </is>
      </c>
      <c r="G428" t="inlineStr">
        <is>
          <t>OSKARSHAMN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44879</v>
      </c>
      <c r="E429" s="1" t="n">
        <v>46234</v>
      </c>
      <c r="F429" t="inlineStr">
        <is>
          <t>KALMAR LÄN</t>
        </is>
      </c>
      <c r="G429" t="inlineStr">
        <is>
          <t>OSKARSHAMN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46234</v>
      </c>
      <c r="F430" t="inlineStr">
        <is>
          <t>KALMAR LÄN</t>
        </is>
      </c>
      <c r="G430" t="inlineStr">
        <is>
          <t>OSKARSHAMN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46234</v>
      </c>
      <c r="F431" t="inlineStr">
        <is>
          <t>KALMAR LÄN</t>
        </is>
      </c>
      <c r="G431" t="inlineStr">
        <is>
          <t>OSKARSHAMN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45526</v>
      </c>
      <c r="E432" s="1" t="n">
        <v>46234</v>
      </c>
      <c r="F432" t="inlineStr">
        <is>
          <t>KALMAR LÄN</t>
        </is>
      </c>
      <c r="G432" t="inlineStr">
        <is>
          <t>OSKARSHAMN</t>
        </is>
      </c>
      <c r="H432" t="inlineStr">
        <is>
          <t>Sveaskog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44951</v>
      </c>
      <c r="E433" s="1" t="n">
        <v>46234</v>
      </c>
      <c r="F433" t="inlineStr">
        <is>
          <t>KALMAR LÄN</t>
        </is>
      </c>
      <c r="G433" t="inlineStr">
        <is>
          <t>OSKARSHAMN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61122-2022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44908</v>
      </c>
      <c r="E434" s="1" t="n">
        <v>46234</v>
      </c>
      <c r="F434" t="inlineStr">
        <is>
          <t>KALMAR LÄN</t>
        </is>
      </c>
      <c r="G434" t="inlineStr">
        <is>
          <t>OSKARSHAMN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45763</v>
      </c>
      <c r="E435" s="1" t="n">
        <v>46234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45700</v>
      </c>
      <c r="E436" s="1" t="n">
        <v>46234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45379</v>
      </c>
      <c r="E437" s="1" t="n">
        <v>46234</v>
      </c>
      <c r="F437" t="inlineStr">
        <is>
          <t>KALMAR LÄN</t>
        </is>
      </c>
      <c r="G437" t="inlineStr">
        <is>
          <t>OSKARSHAMN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22543-2022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44713</v>
      </c>
      <c r="E438" s="1" t="n">
        <v>46234</v>
      </c>
      <c r="F438" t="inlineStr">
        <is>
          <t>KALMAR LÄN</t>
        </is>
      </c>
      <c r="G438" t="inlineStr">
        <is>
          <t>OSKARSHAMN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45691</v>
      </c>
      <c r="E439" s="1" t="n">
        <v>46234</v>
      </c>
      <c r="F439" t="inlineStr">
        <is>
          <t>KALMAR LÄN</t>
        </is>
      </c>
      <c r="G439" t="inlineStr">
        <is>
          <t>OSKARSHAMN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55185-2025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45968</v>
      </c>
      <c r="E440" s="1" t="n">
        <v>46234</v>
      </c>
      <c r="F440" t="inlineStr">
        <is>
          <t>KALMAR LÄN</t>
        </is>
      </c>
      <c r="G440" t="inlineStr">
        <is>
          <t>OSKARSHAMN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26132-2023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45091</v>
      </c>
      <c r="E441" s="1" t="n">
        <v>46234</v>
      </c>
      <c r="F441" t="inlineStr">
        <is>
          <t>KALMAR LÄN</t>
        </is>
      </c>
      <c r="G441" t="inlineStr">
        <is>
          <t>OSKARSHAMN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6892-2025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45701</v>
      </c>
      <c r="E442" s="1" t="n">
        <v>46234</v>
      </c>
      <c r="F442" t="inlineStr">
        <is>
          <t>KALMAR LÄN</t>
        </is>
      </c>
      <c r="G442" t="inlineStr">
        <is>
          <t>OSKARSHAMN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45931</v>
      </c>
      <c r="E443" s="1" t="n">
        <v>46234</v>
      </c>
      <c r="F443" t="inlineStr">
        <is>
          <t>KALMAR LÄN</t>
        </is>
      </c>
      <c r="G443" t="inlineStr">
        <is>
          <t>OSKARSHAMN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58095-2022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44900</v>
      </c>
      <c r="E444" s="1" t="n">
        <v>46234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46234</v>
      </c>
      <c r="F445" t="inlineStr">
        <is>
          <t>KALMAR LÄN</t>
        </is>
      </c>
      <c r="G445" t="inlineStr">
        <is>
          <t>OSKARSHAMN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46234</v>
      </c>
      <c r="F446" t="inlineStr">
        <is>
          <t>KALMAR LÄN</t>
        </is>
      </c>
      <c r="G446" t="inlineStr">
        <is>
          <t>OSKARSHAMN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46007</v>
      </c>
      <c r="E447" s="1" t="n">
        <v>46234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71342-2021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46234</v>
      </c>
      <c r="F448" t="inlineStr">
        <is>
          <t>KALMAR LÄN</t>
        </is>
      </c>
      <c r="G448" t="inlineStr">
        <is>
          <t>OSKARSHAMN</t>
        </is>
      </c>
      <c r="H448" t="inlineStr">
        <is>
          <t>Sveaskog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46234</v>
      </c>
      <c r="F449" t="inlineStr">
        <is>
          <t>KALMAR LÄN</t>
        </is>
      </c>
      <c r="G449" t="inlineStr">
        <is>
          <t>OSKARSHAMN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21921-2022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44711</v>
      </c>
      <c r="E450" s="1" t="n">
        <v>46234</v>
      </c>
      <c r="F450" t="inlineStr">
        <is>
          <t>KALMAR LÄN</t>
        </is>
      </c>
      <c r="G450" t="inlineStr">
        <is>
          <t>OSKARSHAMN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7962-2022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44608</v>
      </c>
      <c r="E451" s="1" t="n">
        <v>46234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46234</v>
      </c>
      <c r="F452" t="inlineStr">
        <is>
          <t>KALMAR LÄN</t>
        </is>
      </c>
      <c r="G452" t="inlineStr">
        <is>
          <t>OSKARSHAMN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46234</v>
      </c>
      <c r="F453" t="inlineStr">
        <is>
          <t>KALMAR LÄN</t>
        </is>
      </c>
      <c r="G453" t="inlineStr">
        <is>
          <t>OSKARSHAMN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45256</v>
      </c>
      <c r="E454" s="1" t="n">
        <v>46234</v>
      </c>
      <c r="F454" t="inlineStr">
        <is>
          <t>KALMAR LÄN</t>
        </is>
      </c>
      <c r="G454" t="inlineStr">
        <is>
          <t>OSKARSHAMN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45841-2023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45195</v>
      </c>
      <c r="E455" s="1" t="n">
        <v>46234</v>
      </c>
      <c r="F455" t="inlineStr">
        <is>
          <t>KALMAR LÄN</t>
        </is>
      </c>
      <c r="G455" t="inlineStr">
        <is>
          <t>OSKARSHAMN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9919-2022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46234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45022</v>
      </c>
      <c r="E457" s="1" t="n">
        <v>46234</v>
      </c>
      <c r="F457" t="inlineStr">
        <is>
          <t>KALMAR LÄN</t>
        </is>
      </c>
      <c r="G457" t="inlineStr">
        <is>
          <t>OSKARSHAMN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45348</v>
      </c>
      <c r="E458" s="1" t="n">
        <v>46234</v>
      </c>
      <c r="F458" t="inlineStr">
        <is>
          <t>KALMAR LÄN</t>
        </is>
      </c>
      <c r="G458" t="inlineStr">
        <is>
          <t>OSKARSHAMN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20758-2026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46141</v>
      </c>
      <c r="E459" s="1" t="n">
        <v>46234</v>
      </c>
      <c r="F459" t="inlineStr">
        <is>
          <t>KALMAR LÄN</t>
        </is>
      </c>
      <c r="G459" t="inlineStr">
        <is>
          <t>OSKARSHAMN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46234</v>
      </c>
      <c r="F460" t="inlineStr">
        <is>
          <t>KALMAR LÄN</t>
        </is>
      </c>
      <c r="G460" t="inlineStr">
        <is>
          <t>OSKARSHAMN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51383-2021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44461</v>
      </c>
      <c r="E461" s="1" t="n">
        <v>46234</v>
      </c>
      <c r="F461" t="inlineStr">
        <is>
          <t>KALMAR LÄN</t>
        </is>
      </c>
      <c r="G461" t="inlineStr">
        <is>
          <t>OSKARSHAMN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46234</v>
      </c>
      <c r="F462" t="inlineStr">
        <is>
          <t>KALMAR LÄN</t>
        </is>
      </c>
      <c r="G462" t="inlineStr">
        <is>
          <t>OSKARSHAMN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12556-2024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45379</v>
      </c>
      <c r="E463" s="1" t="n">
        <v>46234</v>
      </c>
      <c r="F463" t="inlineStr">
        <is>
          <t>KALMAR LÄN</t>
        </is>
      </c>
      <c r="G463" t="inlineStr">
        <is>
          <t>OSKARSHAMN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46234</v>
      </c>
      <c r="F464" t="inlineStr">
        <is>
          <t>KALMAR LÄN</t>
        </is>
      </c>
      <c r="G464" t="inlineStr">
        <is>
          <t>OSKARSHAMN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41536-2024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45560</v>
      </c>
      <c r="E465" s="1" t="n">
        <v>46234</v>
      </c>
      <c r="F465" t="inlineStr">
        <is>
          <t>KALMAR LÄN</t>
        </is>
      </c>
      <c r="G465" t="inlineStr">
        <is>
          <t>OSKARSHAMN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46234</v>
      </c>
      <c r="F466" t="inlineStr">
        <is>
          <t>KALMAR LÄN</t>
        </is>
      </c>
      <c r="G466" t="inlineStr">
        <is>
          <t>OSKARSHAMN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46147</v>
      </c>
      <c r="E467" s="1" t="n">
        <v>46234</v>
      </c>
      <c r="F467" t="inlineStr">
        <is>
          <t>KALMAR LÄN</t>
        </is>
      </c>
      <c r="G467" t="inlineStr">
        <is>
          <t>OSKARSHAMN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21357-2026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46234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46234</v>
      </c>
      <c r="F469" t="inlineStr">
        <is>
          <t>KALMAR LÄN</t>
        </is>
      </c>
      <c r="G469" t="inlineStr">
        <is>
          <t>OSKARSHAMN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45691</v>
      </c>
      <c r="E470" s="1" t="n">
        <v>46234</v>
      </c>
      <c r="F470" t="inlineStr">
        <is>
          <t>KALMAR LÄN</t>
        </is>
      </c>
      <c r="G470" t="inlineStr">
        <is>
          <t>OSKARSHAMN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57483-2021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44483</v>
      </c>
      <c r="E471" s="1" t="n">
        <v>46234</v>
      </c>
      <c r="F471" t="inlineStr">
        <is>
          <t>KALMAR LÄN</t>
        </is>
      </c>
      <c r="G471" t="inlineStr">
        <is>
          <t>OSKARSHAMN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45169</v>
      </c>
      <c r="E472" s="1" t="n">
        <v>46234</v>
      </c>
      <c r="F472" t="inlineStr">
        <is>
          <t>KALMAR LÄN</t>
        </is>
      </c>
      <c r="G472" t="inlineStr">
        <is>
          <t>OSKARSHAMN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44585</v>
      </c>
      <c r="E473" s="1" t="n">
        <v>46234</v>
      </c>
      <c r="F473" t="inlineStr">
        <is>
          <t>KALMAR LÄN</t>
        </is>
      </c>
      <c r="G473" t="inlineStr">
        <is>
          <t>OSKARSHAMN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46234</v>
      </c>
      <c r="F474" t="inlineStr">
        <is>
          <t>KALMAR LÄN</t>
        </is>
      </c>
      <c r="G474" t="inlineStr">
        <is>
          <t>OSKARSHAMN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46234</v>
      </c>
      <c r="F475" t="inlineStr">
        <is>
          <t>KALMAR LÄN</t>
        </is>
      </c>
      <c r="G475" t="inlineStr">
        <is>
          <t>OSKARSHAMN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46234</v>
      </c>
      <c r="F476" t="inlineStr">
        <is>
          <t>KALMAR LÄN</t>
        </is>
      </c>
      <c r="G476" t="inlineStr">
        <is>
          <t>OSKARSHAMN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45317</v>
      </c>
      <c r="E477" s="1" t="n">
        <v>46234</v>
      </c>
      <c r="F477" t="inlineStr">
        <is>
          <t>KALMAR LÄN</t>
        </is>
      </c>
      <c r="G477" t="inlineStr">
        <is>
          <t>OSKARSHAMN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46234</v>
      </c>
      <c r="F478" t="inlineStr">
        <is>
          <t>KALMAR LÄN</t>
        </is>
      </c>
      <c r="G478" t="inlineStr">
        <is>
          <t>OSKARSHAMN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50169-2022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44865</v>
      </c>
      <c r="E479" s="1" t="n">
        <v>46234</v>
      </c>
      <c r="F479" t="inlineStr">
        <is>
          <t>KALMAR LÄN</t>
        </is>
      </c>
      <c r="G479" t="inlineStr">
        <is>
          <t>OSKARSHAMN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45056</v>
      </c>
      <c r="E480" s="1" t="n">
        <v>46234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46977-2021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44446</v>
      </c>
      <c r="E481" s="1" t="n">
        <v>46234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46234</v>
      </c>
      <c r="F482" t="inlineStr">
        <is>
          <t>KALMAR LÄN</t>
        </is>
      </c>
      <c r="G482" t="inlineStr">
        <is>
          <t>OSKARSHAMN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45448</v>
      </c>
      <c r="E483" s="1" t="n">
        <v>46234</v>
      </c>
      <c r="F483" t="inlineStr">
        <is>
          <t>KALMAR LÄN</t>
        </is>
      </c>
      <c r="G483" t="inlineStr">
        <is>
          <t>OSKARSHAMN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22855-2024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45448</v>
      </c>
      <c r="E484" s="1" t="n">
        <v>46234</v>
      </c>
      <c r="F484" t="inlineStr">
        <is>
          <t>KALMAR LÄN</t>
        </is>
      </c>
      <c r="G484" t="inlineStr">
        <is>
          <t>OSKARSHAMN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14949-2023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46234</v>
      </c>
      <c r="F485" t="inlineStr">
        <is>
          <t>KALMAR LÄN</t>
        </is>
      </c>
      <c r="G485" t="inlineStr">
        <is>
          <t>OSKARSHAMN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46234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46234</v>
      </c>
      <c r="F487" t="inlineStr">
        <is>
          <t>KALMAR LÄN</t>
        </is>
      </c>
      <c r="G487" t="inlineStr">
        <is>
          <t>OSKARSHAMN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46234</v>
      </c>
      <c r="F488" t="inlineStr">
        <is>
          <t>KALMAR LÄN</t>
        </is>
      </c>
      <c r="G488" t="inlineStr">
        <is>
          <t>OSKARSHAMN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46234</v>
      </c>
      <c r="F489" t="inlineStr">
        <is>
          <t>KALMAR LÄN</t>
        </is>
      </c>
      <c r="G489" t="inlineStr">
        <is>
          <t>OSKARSHAMN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46234</v>
      </c>
      <c r="F490" t="inlineStr">
        <is>
          <t>KALMAR LÄN</t>
        </is>
      </c>
      <c r="G490" t="inlineStr">
        <is>
          <t>OSKARSHAMN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46234</v>
      </c>
      <c r="F491" t="inlineStr">
        <is>
          <t>KALMAR LÄN</t>
        </is>
      </c>
      <c r="G491" t="inlineStr">
        <is>
          <t>OSKARSHAMN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45252</v>
      </c>
      <c r="E492" s="1" t="n">
        <v>46234</v>
      </c>
      <c r="F492" t="inlineStr">
        <is>
          <t>KALMAR LÄN</t>
        </is>
      </c>
      <c r="G492" t="inlineStr">
        <is>
          <t>OSKARSHAMN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46234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46234</v>
      </c>
      <c r="F494" t="inlineStr">
        <is>
          <t>KALMAR LÄN</t>
        </is>
      </c>
      <c r="G494" t="inlineStr">
        <is>
          <t>OSKARSHAMN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46234</v>
      </c>
      <c r="F495" t="inlineStr">
        <is>
          <t>KALMAR LÄN</t>
        </is>
      </c>
      <c r="G495" t="inlineStr">
        <is>
          <t>OSKARSHAMN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27919-2023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46234</v>
      </c>
      <c r="F496" t="inlineStr">
        <is>
          <t>KALMAR LÄN</t>
        </is>
      </c>
      <c r="G496" t="inlineStr">
        <is>
          <t>OSKARSHAMN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29423-2026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46203</v>
      </c>
      <c r="E497" s="1" t="n">
        <v>46234</v>
      </c>
      <c r="F497" t="inlineStr">
        <is>
          <t>KALMAR LÄN</t>
        </is>
      </c>
      <c r="G497" t="inlineStr">
        <is>
          <t>OSKARSHAMN</t>
        </is>
      </c>
      <c r="I497" t="n">
        <v>15.3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45604</v>
      </c>
      <c r="E498" s="1" t="n">
        <v>46234</v>
      </c>
      <c r="F498" t="inlineStr">
        <is>
          <t>KALMAR LÄN</t>
        </is>
      </c>
      <c r="G498" t="inlineStr">
        <is>
          <t>OSKARSHAMN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28813-2026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46234</v>
      </c>
      <c r="F499" t="inlineStr">
        <is>
          <t>KALMAR LÄN</t>
        </is>
      </c>
      <c r="G499" t="inlineStr">
        <is>
          <t>OSKARSHAMN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45898-2024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45580</v>
      </c>
      <c r="E500" s="1" t="n">
        <v>46234</v>
      </c>
      <c r="F500" t="inlineStr">
        <is>
          <t>KALMAR LÄN</t>
        </is>
      </c>
      <c r="G500" t="inlineStr">
        <is>
          <t>OSKARSHAMN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12098-2024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45377</v>
      </c>
      <c r="E501" s="1" t="n">
        <v>46234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56576-2024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45625</v>
      </c>
      <c r="E502" s="1" t="n">
        <v>46234</v>
      </c>
      <c r="F502" t="inlineStr">
        <is>
          <t>KALMAR LÄN</t>
        </is>
      </c>
      <c r="G502" t="inlineStr">
        <is>
          <t>OSKARSHAMN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46203</v>
      </c>
      <c r="E503" s="1" t="n">
        <v>46234</v>
      </c>
      <c r="F503" t="inlineStr">
        <is>
          <t>KALMAR LÄN</t>
        </is>
      </c>
      <c r="G503" t="inlineStr">
        <is>
          <t>OSKARSHAMN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25867-2022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44733</v>
      </c>
      <c r="E504" s="1" t="n">
        <v>46234</v>
      </c>
      <c r="F504" t="inlineStr">
        <is>
          <t>KALMAR LÄN</t>
        </is>
      </c>
      <c r="G504" t="inlineStr">
        <is>
          <t>OSKARSHAMN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45691</v>
      </c>
      <c r="E505" s="1" t="n">
        <v>46234</v>
      </c>
      <c r="F505" t="inlineStr">
        <is>
          <t>KALMAR LÄN</t>
        </is>
      </c>
      <c r="G505" t="inlineStr">
        <is>
          <t>OSKARSHAMN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46234</v>
      </c>
      <c r="F506" t="inlineStr">
        <is>
          <t>KALMAR LÄN</t>
        </is>
      </c>
      <c r="G506" t="inlineStr">
        <is>
          <t>OSKARSHAMN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45218</v>
      </c>
      <c r="E507" s="1" t="n">
        <v>46234</v>
      </c>
      <c r="F507" t="inlineStr">
        <is>
          <t>KALMAR LÄN</t>
        </is>
      </c>
      <c r="G507" t="inlineStr">
        <is>
          <t>OSKARSHAMN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45092</v>
      </c>
      <c r="E508" s="1" t="n">
        <v>46234</v>
      </c>
      <c r="F508" t="inlineStr">
        <is>
          <t>KALMAR LÄN</t>
        </is>
      </c>
      <c r="G508" t="inlineStr">
        <is>
          <t>OSKARSHAMN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45034</v>
      </c>
      <c r="E509" s="1" t="n">
        <v>46234</v>
      </c>
      <c r="F509" t="inlineStr">
        <is>
          <t>KALMAR LÄN</t>
        </is>
      </c>
      <c r="G509" t="inlineStr">
        <is>
          <t>OSKARSHAMN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30273-2024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46234</v>
      </c>
      <c r="F510" t="inlineStr">
        <is>
          <t>KALMAR LÄN</t>
        </is>
      </c>
      <c r="G510" t="inlineStr">
        <is>
          <t>OSKARSHAMN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46234</v>
      </c>
      <c r="F511" t="inlineStr">
        <is>
          <t>KALMAR LÄN</t>
        </is>
      </c>
      <c r="G511" t="inlineStr">
        <is>
          <t>OSKARSHAMN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29619-2026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46199</v>
      </c>
      <c r="E512" s="1" t="n">
        <v>46234</v>
      </c>
      <c r="F512" t="inlineStr">
        <is>
          <t>KALMAR LÄN</t>
        </is>
      </c>
      <c r="G512" t="inlineStr">
        <is>
          <t>OSKARSHAMN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59002-2021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44490</v>
      </c>
      <c r="E513" s="1" t="n">
        <v>46234</v>
      </c>
      <c r="F513" t="inlineStr">
        <is>
          <t>KALMAR LÄN</t>
        </is>
      </c>
      <c r="G513" t="inlineStr">
        <is>
          <t>OSKARSHAMN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32937-2023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46234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10424-2025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45720</v>
      </c>
      <c r="E515" s="1" t="n">
        <v>46234</v>
      </c>
      <c r="F515" t="inlineStr">
        <is>
          <t>KALMAR LÄN</t>
        </is>
      </c>
      <c r="G515" t="inlineStr">
        <is>
          <t>OSKARSHAMN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33461-2024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45519</v>
      </c>
      <c r="E516" s="1" t="n">
        <v>46234</v>
      </c>
      <c r="F516" t="inlineStr">
        <is>
          <t>KALMAR LÄN</t>
        </is>
      </c>
      <c r="G516" t="inlineStr">
        <is>
          <t>OSKARSHAMN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45372</v>
      </c>
      <c r="E517" s="1" t="n">
        <v>46234</v>
      </c>
      <c r="F517" t="inlineStr">
        <is>
          <t>KALMAR LÄN</t>
        </is>
      </c>
      <c r="G517" t="inlineStr">
        <is>
          <t>OSKARSHAMN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14475-2023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45012</v>
      </c>
      <c r="E518" s="1" t="n">
        <v>46234</v>
      </c>
      <c r="F518" t="inlineStr">
        <is>
          <t>KALMAR LÄN</t>
        </is>
      </c>
      <c r="G518" t="inlineStr">
        <is>
          <t>OSKARSHAMN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35544-2024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46234</v>
      </c>
      <c r="F519" t="inlineStr">
        <is>
          <t>KALMAR LÄN</t>
        </is>
      </c>
      <c r="G519" t="inlineStr">
        <is>
          <t>OSKARSHAMN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46234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62322-2023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45267</v>
      </c>
      <c r="E521" s="1" t="n">
        <v>46234</v>
      </c>
      <c r="F521" t="inlineStr">
        <is>
          <t>KALMAR LÄN</t>
        </is>
      </c>
      <c r="G521" t="inlineStr">
        <is>
          <t>OSKARSHAMN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13778-2024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45391</v>
      </c>
      <c r="E522" s="1" t="n">
        <v>46234</v>
      </c>
      <c r="F522" t="inlineStr">
        <is>
          <t>KALMAR LÄN</t>
        </is>
      </c>
      <c r="G522" t="inlineStr">
        <is>
          <t>OSKARSHAMN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45490</v>
      </c>
      <c r="E523" s="1" t="n">
        <v>46234</v>
      </c>
      <c r="F523" t="inlineStr">
        <is>
          <t>KALMAR LÄN</t>
        </is>
      </c>
      <c r="G523" t="inlineStr">
        <is>
          <t>OSKARSHAMN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46234</v>
      </c>
      <c r="F524" t="inlineStr">
        <is>
          <t>KALMAR LÄN</t>
        </is>
      </c>
      <c r="G524" t="inlineStr">
        <is>
          <t>OSKARSHAMN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45105</v>
      </c>
      <c r="E525" s="1" t="n">
        <v>46234</v>
      </c>
      <c r="F525" t="inlineStr">
        <is>
          <t>KALMAR LÄN</t>
        </is>
      </c>
      <c r="G525" t="inlineStr">
        <is>
          <t>OSKARSHAMN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27143-2023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45096</v>
      </c>
      <c r="E526" s="1" t="n">
        <v>46234</v>
      </c>
      <c r="F526" t="inlineStr">
        <is>
          <t>KALMAR LÄN</t>
        </is>
      </c>
      <c r="G526" t="inlineStr">
        <is>
          <t>OSKARSHAMN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46234</v>
      </c>
      <c r="F527" t="inlineStr">
        <is>
          <t>KALMAR LÄN</t>
        </is>
      </c>
      <c r="G527" t="inlineStr">
        <is>
          <t>OSKARSHAMN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44943</v>
      </c>
      <c r="E528" s="1" t="n">
        <v>46234</v>
      </c>
      <c r="F528" t="inlineStr">
        <is>
          <t>KALMAR LÄN</t>
        </is>
      </c>
      <c r="G528" t="inlineStr">
        <is>
          <t>OSKARSHAMN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15953-2024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46234</v>
      </c>
      <c r="F529" t="inlineStr">
        <is>
          <t>KALMAR LÄN</t>
        </is>
      </c>
      <c r="G529" t="inlineStr">
        <is>
          <t>OSKARSHAMN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45405</v>
      </c>
      <c r="E530" s="1" t="n">
        <v>46234</v>
      </c>
      <c r="F530" t="inlineStr">
        <is>
          <t>KALMAR LÄN</t>
        </is>
      </c>
      <c r="G530" t="inlineStr">
        <is>
          <t>OSKARSHAMN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46234</v>
      </c>
      <c r="F531" t="inlineStr">
        <is>
          <t>KALMAR LÄN</t>
        </is>
      </c>
      <c r="G531" t="inlineStr">
        <is>
          <t>OSKARSHAMN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30743-2026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46211</v>
      </c>
      <c r="E532" s="1" t="n">
        <v>46234</v>
      </c>
      <c r="F532" t="inlineStr">
        <is>
          <t>KALMAR LÄN</t>
        </is>
      </c>
      <c r="G532" t="inlineStr">
        <is>
          <t>OSKARSHAMN</t>
        </is>
      </c>
      <c r="I532" t="n">
        <v>13.6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50922-2022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44865</v>
      </c>
      <c r="E533" s="1" t="n">
        <v>46234</v>
      </c>
      <c r="F533" t="inlineStr">
        <is>
          <t>KALMAR LÄN</t>
        </is>
      </c>
      <c r="G533" t="inlineStr">
        <is>
          <t>OSKARSHAMN</t>
        </is>
      </c>
      <c r="H533" t="inlineStr">
        <is>
          <t>Övriga Aktiebolag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45258</v>
      </c>
      <c r="E534" s="1" t="n">
        <v>46234</v>
      </c>
      <c r="F534" t="inlineStr">
        <is>
          <t>KALMAR LÄN</t>
        </is>
      </c>
      <c r="G534" t="inlineStr">
        <is>
          <t>OSKARSHAMN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45539</v>
      </c>
      <c r="E535" s="1" t="n">
        <v>46234</v>
      </c>
      <c r="F535" t="inlineStr">
        <is>
          <t>KALMAR LÄN</t>
        </is>
      </c>
      <c r="G535" t="inlineStr">
        <is>
          <t>OSKARSHAMN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45490</v>
      </c>
      <c r="E536" s="1" t="n">
        <v>46234</v>
      </c>
      <c r="F536" t="inlineStr">
        <is>
          <t>KALMAR LÄN</t>
        </is>
      </c>
      <c r="G536" t="inlineStr">
        <is>
          <t>OSKARSHAMN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24391-2026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46169</v>
      </c>
      <c r="E537" s="1" t="n">
        <v>46234</v>
      </c>
      <c r="F537" t="inlineStr">
        <is>
          <t>KALMAR LÄN</t>
        </is>
      </c>
      <c r="G537" t="inlineStr">
        <is>
          <t>OSKARSHAMN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57110-2023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46234</v>
      </c>
      <c r="F538" t="inlineStr">
        <is>
          <t>KALMAR LÄN</t>
        </is>
      </c>
      <c r="G538" t="inlineStr">
        <is>
          <t>OSKARSHAMN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46068-2023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46234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51721-2024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45604</v>
      </c>
      <c r="E540" s="1" t="n">
        <v>46234</v>
      </c>
      <c r="F540" t="inlineStr">
        <is>
          <t>KALMAR LÄN</t>
        </is>
      </c>
      <c r="G540" t="inlineStr">
        <is>
          <t>OSKARSHAMN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51025-2023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46234</v>
      </c>
      <c r="F541" t="inlineStr">
        <is>
          <t>KALMAR LÄN</t>
        </is>
      </c>
      <c r="G541" t="inlineStr">
        <is>
          <t>OSKARSHAMN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39939-2023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45168</v>
      </c>
      <c r="E542" s="1" t="n">
        <v>46234</v>
      </c>
      <c r="F542" t="inlineStr">
        <is>
          <t>KALMAR LÄN</t>
        </is>
      </c>
      <c r="G542" t="inlineStr">
        <is>
          <t>OSKARSHAMN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45314</v>
      </c>
      <c r="E543" s="1" t="n">
        <v>46234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17623-2023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46234</v>
      </c>
      <c r="F544" t="inlineStr">
        <is>
          <t>KALMAR LÄN</t>
        </is>
      </c>
      <c r="G544" t="inlineStr">
        <is>
          <t>OSKARSHAMN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39911-2024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45553</v>
      </c>
      <c r="E545" s="1" t="n">
        <v>46234</v>
      </c>
      <c r="F545" t="inlineStr">
        <is>
          <t>KALMAR LÄN</t>
        </is>
      </c>
      <c r="G545" t="inlineStr">
        <is>
          <t>OSKARSHAMN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30057-2023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45110</v>
      </c>
      <c r="E546" s="1" t="n">
        <v>46234</v>
      </c>
      <c r="F546" t="inlineStr">
        <is>
          <t>KALMAR LÄN</t>
        </is>
      </c>
      <c r="G546" t="inlineStr">
        <is>
          <t>OSKARSHAMN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46171</v>
      </c>
      <c r="E547" s="1" t="n">
        <v>46234</v>
      </c>
      <c r="F547" t="inlineStr">
        <is>
          <t>KALMAR LÄN</t>
        </is>
      </c>
      <c r="G547" t="inlineStr">
        <is>
          <t>OSKARSHAMN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24679-2026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46171</v>
      </c>
      <c r="E548" s="1" t="n">
        <v>46234</v>
      </c>
      <c r="F548" t="inlineStr">
        <is>
          <t>KALMAR LÄN</t>
        </is>
      </c>
      <c r="G548" t="inlineStr">
        <is>
          <t>OSKARSHAMN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55569-2024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45621</v>
      </c>
      <c r="E549" s="1" t="n">
        <v>46234</v>
      </c>
      <c r="F549" t="inlineStr">
        <is>
          <t>KALMAR LÄN</t>
        </is>
      </c>
      <c r="G549" t="inlineStr">
        <is>
          <t>OSKARSHAMN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46234</v>
      </c>
      <c r="F550" t="inlineStr">
        <is>
          <t>KALMAR LÄN</t>
        </is>
      </c>
      <c r="G550" t="inlineStr">
        <is>
          <t>OSKARSHAMN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45643</v>
      </c>
      <c r="E551" s="1" t="n">
        <v>46234</v>
      </c>
      <c r="F551" t="inlineStr">
        <is>
          <t>KALMAR LÄN</t>
        </is>
      </c>
      <c r="G551" t="inlineStr">
        <is>
          <t>OSKARSHAMN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46234</v>
      </c>
      <c r="F552" t="inlineStr">
        <is>
          <t>KALMAR LÄN</t>
        </is>
      </c>
      <c r="G552" t="inlineStr">
        <is>
          <t>OSKARSHAMN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59075-2021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44489</v>
      </c>
      <c r="E553" s="1" t="n">
        <v>46234</v>
      </c>
      <c r="F553" t="inlineStr">
        <is>
          <t>KALMAR LÄN</t>
        </is>
      </c>
      <c r="G553" t="inlineStr">
        <is>
          <t>OSKARSHAMN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44995</v>
      </c>
      <c r="E554" s="1" t="n">
        <v>46234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28538-2023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46234</v>
      </c>
      <c r="F555" t="inlineStr">
        <is>
          <t>KALMAR LÄN</t>
        </is>
      </c>
      <c r="G555" t="inlineStr">
        <is>
          <t>OSKARSHAMN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28544-2023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46234</v>
      </c>
      <c r="F556" t="inlineStr">
        <is>
          <t>KALMAR LÄN</t>
        </is>
      </c>
      <c r="G556" t="inlineStr">
        <is>
          <t>OSKARSHAMN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28116-2023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45099</v>
      </c>
      <c r="E557" s="1" t="n">
        <v>46234</v>
      </c>
      <c r="F557" t="inlineStr">
        <is>
          <t>KALMAR LÄN</t>
        </is>
      </c>
      <c r="G557" t="inlineStr">
        <is>
          <t>OSKARSHAMN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46234</v>
      </c>
      <c r="F558" t="inlineStr">
        <is>
          <t>KALMAR LÄN</t>
        </is>
      </c>
      <c r="G558" t="inlineStr">
        <is>
          <t>OSKARSHAMN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43931-2024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45572</v>
      </c>
      <c r="E559" s="1" t="n">
        <v>46234</v>
      </c>
      <c r="F559" t="inlineStr">
        <is>
          <t>KALMAR LÄN</t>
        </is>
      </c>
      <c r="G559" t="inlineStr">
        <is>
          <t>OSKARSHAMN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46234</v>
      </c>
      <c r="F560" t="inlineStr">
        <is>
          <t>KALMAR LÄN</t>
        </is>
      </c>
      <c r="G560" t="inlineStr">
        <is>
          <t>OSKARSHAMN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58406-2021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44488</v>
      </c>
      <c r="E561" s="1" t="n">
        <v>46234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45709</v>
      </c>
      <c r="E562" s="1" t="n">
        <v>46234</v>
      </c>
      <c r="F562" t="inlineStr">
        <is>
          <t>KALMAR LÄN</t>
        </is>
      </c>
      <c r="G562" t="inlineStr">
        <is>
          <t>OSKARSHAMN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30952-2023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46234</v>
      </c>
      <c r="F563" t="inlineStr">
        <is>
          <t>KALMAR LÄN</t>
        </is>
      </c>
      <c r="G563" t="inlineStr">
        <is>
          <t>OSKARSHAMN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46202</v>
      </c>
      <c r="E564" s="1" t="n">
        <v>46234</v>
      </c>
      <c r="F564" t="inlineStr">
        <is>
          <t>KALMAR LÄN</t>
        </is>
      </c>
      <c r="G564" t="inlineStr">
        <is>
          <t>OSKARSHAMN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29255-2026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46234</v>
      </c>
      <c r="F565" t="inlineStr">
        <is>
          <t>KALMAR LÄN</t>
        </is>
      </c>
      <c r="G565" t="inlineStr">
        <is>
          <t>OSKARSHAMN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46202</v>
      </c>
      <c r="E566" s="1" t="n">
        <v>46234</v>
      </c>
      <c r="F566" t="inlineStr">
        <is>
          <t>KALMAR LÄN</t>
        </is>
      </c>
      <c r="G566" t="inlineStr">
        <is>
          <t>OSKARSHAMN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46202</v>
      </c>
      <c r="E567" s="1" t="n">
        <v>46234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46234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29241-2026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46202</v>
      </c>
      <c r="E569" s="1" t="n">
        <v>46234</v>
      </c>
      <c r="F569" t="inlineStr">
        <is>
          <t>KALMAR LÄN</t>
        </is>
      </c>
      <c r="G569" t="inlineStr">
        <is>
          <t>OSKARSHAMN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46234</v>
      </c>
      <c r="F570" t="inlineStr">
        <is>
          <t>KALMAR LÄN</t>
        </is>
      </c>
      <c r="G570" t="inlineStr">
        <is>
          <t>OSKARSHAMN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46234</v>
      </c>
      <c r="F571" t="inlineStr">
        <is>
          <t>KALMAR LÄN</t>
        </is>
      </c>
      <c r="G571" t="inlineStr">
        <is>
          <t>OSKARSHAMN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31835-2026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46230</v>
      </c>
      <c r="E572" s="1" t="n">
        <v>46234</v>
      </c>
      <c r="F572" t="inlineStr">
        <is>
          <t>KALMAR LÄN</t>
        </is>
      </c>
      <c r="G572" t="inlineStr">
        <is>
          <t>OSKARSHAMN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679-2024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46234</v>
      </c>
      <c r="F573" t="inlineStr">
        <is>
          <t>KALMAR LÄN</t>
        </is>
      </c>
      <c r="G573" t="inlineStr">
        <is>
          <t>OSKARSHAMN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4832-2024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45615</v>
      </c>
      <c r="E574" s="1" t="n">
        <v>46234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1910-2023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45078</v>
      </c>
      <c r="E575" s="1" t="n">
        <v>46234</v>
      </c>
      <c r="F575" t="inlineStr">
        <is>
          <t>KALMAR LÄN</t>
        </is>
      </c>
      <c r="G575" t="inlineStr">
        <is>
          <t>OSKARSHAMN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46234</v>
      </c>
      <c r="F576" t="inlineStr">
        <is>
          <t>KALMAR LÄN</t>
        </is>
      </c>
      <c r="G576" t="inlineStr">
        <is>
          <t>OSKARSHAMN</t>
        </is>
      </c>
      <c r="I576" t="n">
        <v>52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2334-2022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44685</v>
      </c>
      <c r="E577" s="1" t="n">
        <v>46234</v>
      </c>
      <c r="F577" t="inlineStr">
        <is>
          <t>KALMAR LÄN</t>
        </is>
      </c>
      <c r="G577" t="inlineStr">
        <is>
          <t>OSKARSHAMN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6585-2021</t>
        </is>
      </c>
      <c r="B578" t="inlineStr">
        <is>
          <t>samrådsanmälan</t>
        </is>
      </c>
      <c r="C578" t="inlineStr">
        <is>
          <t>Dikesrensning</t>
        </is>
      </c>
      <c r="D578" s="1" t="n">
        <v>44455</v>
      </c>
      <c r="E578" s="1" t="n">
        <v>46234</v>
      </c>
      <c r="F578" t="inlineStr">
        <is>
          <t>KALMAR LÄN</t>
        </is>
      </c>
      <c r="G578" t="inlineStr">
        <is>
          <t>OSKARSHAMN</t>
        </is>
      </c>
      <c r="H578" t="inlineStr">
        <is>
          <t>Sveaskog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4600-2023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45287</v>
      </c>
      <c r="E579" s="1" t="n">
        <v>46234</v>
      </c>
      <c r="F579" t="inlineStr">
        <is>
          <t>KALMAR LÄN</t>
        </is>
      </c>
      <c r="G579" t="inlineStr">
        <is>
          <t>OSKARSHAMN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2623-2024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45477</v>
      </c>
      <c r="E580" s="1" t="n">
        <v>46234</v>
      </c>
      <c r="F580" t="inlineStr">
        <is>
          <t>KALMAR LÄN</t>
        </is>
      </c>
      <c r="G580" t="inlineStr">
        <is>
          <t>OSKARSHAMN</t>
        </is>
      </c>
      <c r="I580" t="n">
        <v>11.9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2620-2024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45477</v>
      </c>
      <c r="E581" s="1" t="n">
        <v>46234</v>
      </c>
      <c r="F581" t="inlineStr">
        <is>
          <t>KALMAR LÄN</t>
        </is>
      </c>
      <c r="G581" t="inlineStr">
        <is>
          <t>OSKARSHAMN</t>
        </is>
      </c>
      <c r="I581" t="n">
        <v>12.5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651-2022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44594</v>
      </c>
      <c r="E582" s="1" t="n">
        <v>46234</v>
      </c>
      <c r="F582" t="inlineStr">
        <is>
          <t>KALMAR LÄN</t>
        </is>
      </c>
      <c r="G582" t="inlineStr">
        <is>
          <t>OSKARSHAMN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3313-2023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45195</v>
      </c>
      <c r="E583" s="1" t="n">
        <v>46234</v>
      </c>
      <c r="F583" t="inlineStr">
        <is>
          <t>KALMAR LÄN</t>
        </is>
      </c>
      <c r="G583" t="inlineStr">
        <is>
          <t>OSKARSHAMN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821-2023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44988</v>
      </c>
      <c r="E584" s="1" t="n">
        <v>46234</v>
      </c>
      <c r="F584" t="inlineStr">
        <is>
          <t>KALMAR LÄN</t>
        </is>
      </c>
      <c r="G584" t="inlineStr">
        <is>
          <t>OSKARSHAMN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45476</v>
      </c>
      <c r="E585" s="1" t="n">
        <v>46234</v>
      </c>
      <c r="F585" t="inlineStr">
        <is>
          <t>KALMAR LÄN</t>
        </is>
      </c>
      <c r="G585" t="inlineStr">
        <is>
          <t>OSKARSHAMN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677-2024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45357</v>
      </c>
      <c r="E586" s="1" t="n">
        <v>46234</v>
      </c>
      <c r="F586" t="inlineStr">
        <is>
          <t>KALMAR LÄN</t>
        </is>
      </c>
      <c r="G586" t="inlineStr">
        <is>
          <t>OSKARSHAMN</t>
        </is>
      </c>
      <c r="I586" t="n">
        <v>37.5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45357</v>
      </c>
      <c r="E587" s="1" t="n">
        <v>46234</v>
      </c>
      <c r="F587" t="inlineStr">
        <is>
          <t>KALMAR LÄN</t>
        </is>
      </c>
      <c r="G587" t="inlineStr">
        <is>
          <t>OSKARSHAMN</t>
        </is>
      </c>
      <c r="I587" t="n">
        <v>47.2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2471-2024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45470</v>
      </c>
      <c r="E588" s="1" t="n">
        <v>46234</v>
      </c>
      <c r="F588" t="inlineStr">
        <is>
          <t>KALMAR LÄN</t>
        </is>
      </c>
      <c r="G588" t="inlineStr">
        <is>
          <t>OSKARSHAMN</t>
        </is>
      </c>
      <c r="I588" t="n">
        <v>34.4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712-2023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44979</v>
      </c>
      <c r="E589" s="1" t="n">
        <v>46234</v>
      </c>
      <c r="F589" t="inlineStr">
        <is>
          <t>KALMAR LÄN</t>
        </is>
      </c>
      <c r="G589" t="inlineStr">
        <is>
          <t>OSKARSHAMN</t>
        </is>
      </c>
      <c r="I589" t="n">
        <v>24.6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2026-2022</t>
        </is>
      </c>
      <c r="B590" t="inlineStr">
        <is>
          <t>samrådsanmälan</t>
        </is>
      </c>
      <c r="C590" t="inlineStr">
        <is>
          <t>Åtgärd i nyckelbiotop</t>
        </is>
      </c>
      <c r="D590" s="1" t="n">
        <v>44665</v>
      </c>
      <c r="E590" s="1" t="n">
        <v>46234</v>
      </c>
      <c r="F590" t="inlineStr">
        <is>
          <t>KALMAR LÄN</t>
        </is>
      </c>
      <c r="G590" t="inlineStr">
        <is>
          <t>OSKARSHAMN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1437-2022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44634</v>
      </c>
      <c r="E591" s="1" t="n">
        <v>46234</v>
      </c>
      <c r="F591" t="inlineStr">
        <is>
          <t>KALMAR LÄN</t>
        </is>
      </c>
      <c r="G591" t="inlineStr">
        <is>
          <t>OSKARSHAMN</t>
        </is>
      </c>
      <c r="I591" t="n">
        <v>24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2367-2025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45889</v>
      </c>
      <c r="E592" s="1" t="n">
        <v>46234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2970-2025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45954</v>
      </c>
      <c r="E593" s="1" t="n">
        <v>46234</v>
      </c>
      <c r="F593" t="inlineStr">
        <is>
          <t>KALMAR LÄN</t>
        </is>
      </c>
      <c r="G593" t="inlineStr">
        <is>
          <t>OSKARSHAMN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3540-2025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46009</v>
      </c>
      <c r="E594" s="1" t="n">
        <v>46234</v>
      </c>
      <c r="F594" t="inlineStr">
        <is>
          <t>KALMAR LÄN</t>
        </is>
      </c>
      <c r="G594" t="inlineStr">
        <is>
          <t>OSKARSHAMN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2386-2024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45468</v>
      </c>
      <c r="E595" s="1" t="n">
        <v>46234</v>
      </c>
      <c r="F595" t="inlineStr">
        <is>
          <t>KALMAR LÄN</t>
        </is>
      </c>
      <c r="G595" t="inlineStr">
        <is>
          <t>OSKARSHAMN</t>
        </is>
      </c>
      <c r="H595" t="inlineStr">
        <is>
          <t>Kommuner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1820-2026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46197</v>
      </c>
      <c r="E596" s="1" t="n">
        <v>46234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2026-07-31T01:55:24Z</dcterms:created>
  <dcterms:modified xmlns:dcterms="http://purl.org/dc/terms/" xmlns:xsi="http://www.w3.org/2001/XMLSchema-instance" xsi:type="dcterms:W3CDTF">2026-07-31T01:55:25Z</dcterms:modified>
</cp:coreProperties>
</file>