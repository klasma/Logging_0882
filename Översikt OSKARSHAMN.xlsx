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46307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46307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46307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46307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46307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46307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46307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46307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46307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46307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46307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46307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46307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14044-2024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45392</v>
      </c>
      <c r="E21" s="1" t="n">
        <v>46307</v>
      </c>
      <c r="F21" t="inlineStr">
        <is>
          <t>KALMAR LÄN</t>
        </is>
      </c>
      <c r="G21" t="inlineStr">
        <is>
          <t>OSKARSHAMN</t>
        </is>
      </c>
      <c r="I21" t="n">
        <v>1.5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11</v>
      </c>
      <c r="U21" t="n">
        <v>0</v>
      </c>
      <c r="V21" s="2" t="inlineStr">
        <is>
          <t>Talltita
Vedtrappmossa
Björksplintborre
Fällmossa
Blåsippa
Järpe</t>
        </is>
      </c>
      <c r="W21">
        <f>HYPERLINK("https://klasma.github.io/Logging_0882/artfynd/A 14044-2024 artfynd.xlsx", "A 14044-2024")</f>
        <v/>
      </c>
      <c r="X21">
        <f>HYPERLINK("https://klasma.github.io/Logging_0882/kartor/A 14044-2024 karta.png", "A 14044-2024")</f>
        <v/>
      </c>
      <c r="Y21">
        <f>HYPERLINK("https://klasma.github.io/Logging_0882/kartor_geotiff/A 14044-2024 georefererad karta.tif", "A 14044-2024")</f>
        <v/>
      </c>
      <c r="AA21">
        <f>HYPERLINK("https://klasma.github.io/Logging_0882/klagomål/A 14044-2024 FSC-klagomål.docx", "A 14044-2024")</f>
        <v/>
      </c>
      <c r="AB21">
        <f>HYPERLINK("https://klasma.github.io/Logging_0882/klagomålsmail/A 14044-2024 FSC-klagomål mail.docx", "A 14044-2024")</f>
        <v/>
      </c>
      <c r="AC21">
        <f>HYPERLINK("https://klasma.github.io/Logging_0882/tillsyn/A 14044-2024 tillsynsbegäran.docx", "A 14044-2024")</f>
        <v/>
      </c>
      <c r="AD21">
        <f>HYPERLINK("https://klasma.github.io/Logging_0882/tillsynsmail/A 14044-2024 tillsynsbegäran mail.docx", "A 14044-2024")</f>
        <v/>
      </c>
      <c r="AE21">
        <f>HYPERLINK("https://klasma.github.io/Logging_0882/fåglar/A 14044-2024 prioriterade fågelarter.docx", "A 14044-2024")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46307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46307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Ekticka
Rosa skärelav
Blomskägglav
Guldlockmossa
Platt fjädermossa
Kopparödla</t>
        </is>
      </c>
      <c r="W23">
        <f>HYPERLINK("https://klasma.github.io/Logging_0882/artfynd/A 22297-2024 artfynd.xlsx", "A 22297-2024")</f>
        <v/>
      </c>
      <c r="X23">
        <f>HYPERLINK("https://klasma.github.io/Logging_0882/kartor/A 22297-2024 karta.png", "A 22297-2024")</f>
        <v/>
      </c>
      <c r="Y23">
        <f>HYPERLINK("https://klasma.github.io/Logging_0882/kartor_geotiff/A 22297-2024 georefererad karta.tif", "A 22297-2024")</f>
        <v/>
      </c>
      <c r="AA23">
        <f>HYPERLINK("https://klasma.github.io/Logging_0882/klagomål/A 22297-2024 FSC-klagomål.docx", "A 22297-2024")</f>
        <v/>
      </c>
      <c r="AB23">
        <f>HYPERLINK("https://klasma.github.io/Logging_0882/klagomålsmail/A 22297-2024 FSC-klagomål mail.docx", "A 22297-2024")</f>
        <v/>
      </c>
      <c r="AC23">
        <f>HYPERLINK("https://klasma.github.io/Logging_0882/tillsyn/A 22297-2024 tillsynsbegäran.docx", "A 22297-2024")</f>
        <v/>
      </c>
      <c r="AD23">
        <f>HYPERLINK("https://klasma.github.io/Logging_0882/tillsynsmail/A 22297-2024 tillsynsbegäran mail.docx", "A 22297-2024")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46307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46307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46307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46307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46307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46307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46307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46307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46307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59697-2023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45256</v>
      </c>
      <c r="E35" s="1" t="n">
        <v>46307</v>
      </c>
      <c r="F35" t="inlineStr">
        <is>
          <t>KALMAR LÄN</t>
        </is>
      </c>
      <c r="G35" t="inlineStr">
        <is>
          <t>OSKARSHAMN</t>
        </is>
      </c>
      <c r="I35" t="n">
        <v>11.9</v>
      </c>
      <c r="J35" t="n">
        <v>0</v>
      </c>
      <c r="K35" t="n">
        <v>0</v>
      </c>
      <c r="L35" t="n">
        <v>0</v>
      </c>
      <c r="M35" t="n">
        <v>1</v>
      </c>
      <c r="N35" t="n">
        <v>2</v>
      </c>
      <c r="O35" t="n">
        <v>0</v>
      </c>
      <c r="P35" t="n">
        <v>0</v>
      </c>
      <c r="Q35" t="n">
        <v>3</v>
      </c>
      <c r="R35" t="n">
        <v>3</v>
      </c>
      <c r="S35" t="n">
        <v>3</v>
      </c>
      <c r="T35" t="n">
        <v>4</v>
      </c>
      <c r="U35" t="n">
        <v>0</v>
      </c>
      <c r="V35" s="2" t="inlineStr">
        <is>
          <t>Almlav
Ask
Blek kraterlav</t>
        </is>
      </c>
      <c r="W35">
        <f>HYPERLINK("https://klasma.github.io/Logging_0882/artfynd/A 59697-2023 artfynd.xlsx", "A 59697-2023")</f>
        <v/>
      </c>
      <c r="X35">
        <f>HYPERLINK("https://klasma.github.io/Logging_0882/kartor/A 59697-2023 karta.png", "A 59697-2023")</f>
        <v/>
      </c>
      <c r="Y35">
        <f>HYPERLINK("https://klasma.github.io/Logging_0882/kartor_geotiff/A 59697-2023 georefererad karta.tif", "A 59697-2023")</f>
        <v/>
      </c>
      <c r="AA35">
        <f>HYPERLINK("https://klasma.github.io/Logging_0882/klagomål/A 59697-2023 FSC-klagomål.docx", "A 59697-2023")</f>
        <v/>
      </c>
      <c r="AB35">
        <f>HYPERLINK("https://klasma.github.io/Logging_0882/klagomålsmail/A 59697-2023 FSC-klagomål mail.docx", "A 59697-2023")</f>
        <v/>
      </c>
      <c r="AC35">
        <f>HYPERLINK("https://klasma.github.io/Logging_0882/tillsyn/A 59697-2023 tillsynsbegäran.docx", "A 59697-2023")</f>
        <v/>
      </c>
      <c r="AD35">
        <f>HYPERLINK("https://klasma.github.io/Logging_0882/tillsynsmail/A 59697-2023 tillsynsbegäran mail.docx", "A 59697-2023")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46307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46307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46307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46307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46307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46307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46307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59683-2021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46307</v>
      </c>
      <c r="F45" t="inlineStr">
        <is>
          <t>KALMAR LÄN</t>
        </is>
      </c>
      <c r="G45" t="inlineStr">
        <is>
          <t>OSKARSHAMN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HYPERLINK("https://klasma.github.io/Logging_0882/artfynd/A 59683-2021 artfynd.xlsx", "A 59683-2021")</f>
        <v/>
      </c>
      <c r="X45">
        <f>HYPERLINK("https://klasma.github.io/Logging_0882/kartor/A 59683-2021 karta.png", "A 59683-2021")</f>
        <v/>
      </c>
      <c r="Y45">
        <f>HYPERLINK("https://klasma.github.io/Logging_0882/kartor_geotiff/A 59683-2021 georefererad karta.tif", "A 59683-2021")</f>
        <v/>
      </c>
      <c r="AA45">
        <f>HYPERLINK("https://klasma.github.io/Logging_0882/klagomål/A 59683-2021 FSC-klagomål.docx", "A 59683-2021")</f>
        <v/>
      </c>
      <c r="AB45">
        <f>HYPERLINK("https://klasma.github.io/Logging_0882/klagomålsmail/A 59683-2021 FSC-klagomål mail.docx", "A 59683-2021")</f>
        <v/>
      </c>
      <c r="AC45">
        <f>HYPERLINK("https://klasma.github.io/Logging_0882/tillsyn/A 59683-2021 tillsynsbegäran.docx", "A 59683-2021")</f>
        <v/>
      </c>
      <c r="AD45">
        <f>HYPERLINK("https://klasma.github.io/Logging_0882/tillsynsmail/A 59683-2021 tillsynsbegäran mail.docx", "A 59683-2021")</f>
        <v/>
      </c>
      <c r="AE45">
        <f>HYPERLINK("https://klasma.github.io/Logging_0882/fåglar/A 59683-2021 prioriterade fågelarter.docx", "A 59683-2021")</f>
        <v/>
      </c>
    </row>
    <row r="46" ht="15" customHeight="1">
      <c r="A46" t="inlineStr">
        <is>
          <t>A 65314-2021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46307</v>
      </c>
      <c r="F46" t="inlineStr">
        <is>
          <t>KALMAR LÄN</t>
        </is>
      </c>
      <c r="G46" t="inlineStr">
        <is>
          <t>OSKARSHAMN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Klubbsprötad bastardsvärmare</t>
        </is>
      </c>
      <c r="W46">
        <f>HYPERLINK("https://klasma.github.io/Logging_0882/artfynd/A 65314-2021 artfynd.xlsx", "A 65314-2021")</f>
        <v/>
      </c>
      <c r="X46">
        <f>HYPERLINK("https://klasma.github.io/Logging_0882/kartor/A 65314-2021 karta.png", "A 65314-2021")</f>
        <v/>
      </c>
      <c r="Y46">
        <f>HYPERLINK("https://klasma.github.io/Logging_0882/kartor_geotiff/A 65314-2021 georefererad karta.tif", "A 65314-2021")</f>
        <v/>
      </c>
      <c r="AA46">
        <f>HYPERLINK("https://klasma.github.io/Logging_0882/klagomål/A 65314-2021 FSC-klagomål.docx", "A 65314-2021")</f>
        <v/>
      </c>
      <c r="AB46">
        <f>HYPERLINK("https://klasma.github.io/Logging_0882/klagomålsmail/A 65314-2021 FSC-klagomål mail.docx", "A 65314-2021")</f>
        <v/>
      </c>
      <c r="AC46">
        <f>HYPERLINK("https://klasma.github.io/Logging_0882/tillsyn/A 65314-2021 tillsynsbegäran.docx", "A 65314-2021")</f>
        <v/>
      </c>
      <c r="AD46">
        <f>HYPERLINK("https://klasma.github.io/Logging_0882/tillsynsmail/A 65314-2021 tillsynsbegäran mail.docx", "A 65314-2021")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46307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5111-2024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46307</v>
      </c>
      <c r="F48" t="inlineStr">
        <is>
          <t>KALMAR LÄN</t>
        </is>
      </c>
      <c r="G48" t="inlineStr">
        <is>
          <t>OSKARSHAMN</t>
        </is>
      </c>
      <c r="I48" t="n">
        <v>1.3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HYPERLINK("https://klasma.github.io/Logging_0882/artfynd/A 5111-2024 artfynd.xlsx", "A 5111-2024")</f>
        <v/>
      </c>
      <c r="X48">
        <f>HYPERLINK("https://klasma.github.io/Logging_0882/kartor/A 5111-2024 karta.png", "A 5111-2024")</f>
        <v/>
      </c>
      <c r="Y48">
        <f>HYPERLINK("https://klasma.github.io/Logging_0882/kartor_geotiff/A 5111-2024 georefererad karta.tif", "A 5111-2024")</f>
        <v/>
      </c>
      <c r="Z48">
        <f>HYPERLINK("https://klasma.github.io/Logging_0882/knärot/A 5111-2024 karta knärot.png", "A 5111-2024")</f>
        <v/>
      </c>
      <c r="AA48">
        <f>HYPERLINK("https://klasma.github.io/Logging_0882/klagomål/A 5111-2024 FSC-klagomål.docx", "A 5111-2024")</f>
        <v/>
      </c>
      <c r="AB48">
        <f>HYPERLINK("https://klasma.github.io/Logging_0882/klagomålsmail/A 5111-2024 FSC-klagomål mail.docx", "A 5111-2024")</f>
        <v/>
      </c>
      <c r="AC48">
        <f>HYPERLINK("https://klasma.github.io/Logging_0882/tillsyn/A 5111-2024 tillsynsbegäran.docx", "A 5111-2024")</f>
        <v/>
      </c>
      <c r="AD48">
        <f>HYPERLINK("https://klasma.github.io/Logging_0882/tillsynsmail/A 5111-2024 tillsynsbegäran mail.docx", "A 5111-2024")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46307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46307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26208-2024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46307</v>
      </c>
      <c r="F51" t="inlineStr">
        <is>
          <t>KALMAR LÄN</t>
        </is>
      </c>
      <c r="G51" t="inlineStr">
        <is>
          <t>OSKARSHAMN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Jungfrulin</t>
        </is>
      </c>
      <c r="W51">
        <f>HYPERLINK("https://klasma.github.io/Logging_0882/artfynd/A 26208-2024 artfynd.xlsx", "A 26208-2024")</f>
        <v/>
      </c>
      <c r="X51">
        <f>HYPERLINK("https://klasma.github.io/Logging_0882/kartor/A 26208-2024 karta.png", "A 26208-2024")</f>
        <v/>
      </c>
      <c r="Y51">
        <f>HYPERLINK("https://klasma.github.io/Logging_0882/kartor_geotiff/A 26208-2024 georefererad karta.tif", "A 26208-2024")</f>
        <v/>
      </c>
      <c r="AA51">
        <f>HYPERLINK("https://klasma.github.io/Logging_0882/klagomål/A 26208-2024 FSC-klagomål.docx", "A 26208-2024")</f>
        <v/>
      </c>
      <c r="AB51">
        <f>HYPERLINK("https://klasma.github.io/Logging_0882/klagomålsmail/A 26208-2024 FSC-klagomål mail.docx", "A 26208-2024")</f>
        <v/>
      </c>
      <c r="AC51">
        <f>HYPERLINK("https://klasma.github.io/Logging_0882/tillsyn/A 26208-2024 tillsynsbegäran.docx", "A 26208-2024")</f>
        <v/>
      </c>
      <c r="AD51">
        <f>HYPERLINK("https://klasma.github.io/Logging_0882/tillsynsmail/A 26208-2024 tillsynsbegäran mail.docx", "A 26208-2024")</f>
        <v/>
      </c>
    </row>
    <row r="52" ht="15" customHeight="1">
      <c r="A52" t="inlineStr">
        <is>
          <t>A 37327-2024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45540</v>
      </c>
      <c r="E52" s="1" t="n">
        <v>46307</v>
      </c>
      <c r="F52" t="inlineStr">
        <is>
          <t>KALMAR LÄN</t>
        </is>
      </c>
      <c r="G52" t="inlineStr">
        <is>
          <t>OSKARSHAMN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Dropptaggsvamp</t>
        </is>
      </c>
      <c r="W52">
        <f>HYPERLINK("https://klasma.github.io/Logging_0882/artfynd/A 37327-2024 artfynd.xlsx", "A 37327-2024")</f>
        <v/>
      </c>
      <c r="X52">
        <f>HYPERLINK("https://klasma.github.io/Logging_0882/kartor/A 37327-2024 karta.png", "A 37327-2024")</f>
        <v/>
      </c>
      <c r="Y52">
        <f>HYPERLINK("https://klasma.github.io/Logging_0882/kartor_geotiff/A 37327-2024 georefererad karta.tif", "A 37327-2024")</f>
        <v/>
      </c>
      <c r="AA52">
        <f>HYPERLINK("https://klasma.github.io/Logging_0882/klagomål/A 37327-2024 FSC-klagomål.docx", "A 37327-2024")</f>
        <v/>
      </c>
      <c r="AB52">
        <f>HYPERLINK("https://klasma.github.io/Logging_0882/klagomålsmail/A 37327-2024 FSC-klagomål mail.docx", "A 37327-2024")</f>
        <v/>
      </c>
      <c r="AC52">
        <f>HYPERLINK("https://klasma.github.io/Logging_0882/tillsyn/A 37327-2024 tillsynsbegäran.docx", "A 37327-2024")</f>
        <v/>
      </c>
      <c r="AD52">
        <f>HYPERLINK("https://klasma.github.io/Logging_0882/tillsynsmail/A 37327-2024 tillsynsbegäran mail.docx", "A 37327-2024")</f>
        <v/>
      </c>
    </row>
    <row r="53" ht="15" customHeight="1">
      <c r="A53" t="inlineStr">
        <is>
          <t>A 42443-2023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45175</v>
      </c>
      <c r="E53" s="1" t="n">
        <v>46307</v>
      </c>
      <c r="F53" t="inlineStr">
        <is>
          <t>KALMAR LÄN</t>
        </is>
      </c>
      <c r="G53" t="inlineStr">
        <is>
          <t>OSKARSHAMN</t>
        </is>
      </c>
      <c r="I53" t="n">
        <v>11.4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Blåmossa</t>
        </is>
      </c>
      <c r="W53">
        <f>HYPERLINK("https://klasma.github.io/Logging_0882/artfynd/A 42443-2023 artfynd.xlsx", "A 42443-2023")</f>
        <v/>
      </c>
      <c r="X53">
        <f>HYPERLINK("https://klasma.github.io/Logging_0882/kartor/A 42443-2023 karta.png", "A 42443-2023")</f>
        <v/>
      </c>
      <c r="Y53">
        <f>HYPERLINK("https://klasma.github.io/Logging_0882/kartor_geotiff/A 42443-2023 georefererad karta.tif", "A 42443-2023")</f>
        <v/>
      </c>
      <c r="AA53">
        <f>HYPERLINK("https://klasma.github.io/Logging_0882/klagomål/A 42443-2023 FSC-klagomål.docx", "A 42443-2023")</f>
        <v/>
      </c>
      <c r="AB53">
        <f>HYPERLINK("https://klasma.github.io/Logging_0882/klagomålsmail/A 42443-2023 FSC-klagomål mail.docx", "A 42443-2023")</f>
        <v/>
      </c>
      <c r="AC53">
        <f>HYPERLINK("https://klasma.github.io/Logging_0882/tillsyn/A 42443-2023 tillsynsbegäran.docx", "A 42443-2023")</f>
        <v/>
      </c>
      <c r="AD53">
        <f>HYPERLINK("https://klasma.github.io/Logging_0882/tillsynsmail/A 42443-2023 tillsynsbegäran mail.docx", "A 42443-2023")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46307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46307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46307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Åkerkål</t>
        </is>
      </c>
      <c r="W56">
        <f>HYPERLINK("https://klasma.github.io/Logging_0882/artfynd/A 27854-2023 artfynd.xlsx", "A 27854-2023")</f>
        <v/>
      </c>
      <c r="X56">
        <f>HYPERLINK("https://klasma.github.io/Logging_0882/kartor/A 27854-2023 karta.png", "A 27854-2023")</f>
        <v/>
      </c>
      <c r="Y56">
        <f>HYPERLINK("https://klasma.github.io/Logging_0882/kartor_geotiff/A 27854-2023 georefererad karta.tif", "A 27854-2023")</f>
        <v/>
      </c>
      <c r="AA56">
        <f>HYPERLINK("https://klasma.github.io/Logging_0882/klagomål/A 27854-2023 FSC-klagomål.docx", "A 27854-2023")</f>
        <v/>
      </c>
      <c r="AB56">
        <f>HYPERLINK("https://klasma.github.io/Logging_0882/klagomålsmail/A 27854-2023 FSC-klagomål mail.docx", "A 27854-2023")</f>
        <v/>
      </c>
      <c r="AC56">
        <f>HYPERLINK("https://klasma.github.io/Logging_0882/tillsyn/A 27854-2023 tillsynsbegäran.docx", "A 27854-2023")</f>
        <v/>
      </c>
      <c r="AD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46307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46307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46307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46307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46307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26730-2026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46307</v>
      </c>
      <c r="F62" t="inlineStr">
        <is>
          <t>KALMAR LÄN</t>
        </is>
      </c>
      <c r="G62" t="inlineStr">
        <is>
          <t>OSKARSHAMN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Mosippa</t>
        </is>
      </c>
      <c r="W62">
        <f>HYPERLINK("https://klasma.github.io/Logging_0882/artfynd/A 26730-2026 artfynd.xlsx", "A 26730-2026")</f>
        <v/>
      </c>
      <c r="X62">
        <f>HYPERLINK("https://klasma.github.io/Logging_0882/kartor/A 26730-2026 karta.png", "A 26730-2026")</f>
        <v/>
      </c>
      <c r="Y62">
        <f>HYPERLINK("https://klasma.github.io/Logging_0882/kartor_geotiff/A 26730-2026 georefererad karta.tif", "A 26730-2026")</f>
        <v/>
      </c>
      <c r="AA62">
        <f>HYPERLINK("https://klasma.github.io/Logging_0882/klagomål/A 26730-2026 FSC-klagomål.docx", "A 26730-2026")</f>
        <v/>
      </c>
      <c r="AB62">
        <f>HYPERLINK("https://klasma.github.io/Logging_0882/klagomålsmail/A 26730-2026 FSC-klagomål mail.docx", "A 26730-2026")</f>
        <v/>
      </c>
      <c r="AC62">
        <f>HYPERLINK("https://klasma.github.io/Logging_0882/tillsyn/A 26730-2026 tillsynsbegäran.docx", "A 26730-2026")</f>
        <v/>
      </c>
      <c r="AD62">
        <f>HYPERLINK("https://klasma.github.io/Logging_0882/tillsynsmail/A 26730-2026 tillsynsbegäran mail.docx", "A 26730-2026")</f>
        <v/>
      </c>
    </row>
    <row r="63" ht="15" customHeight="1">
      <c r="A63" t="inlineStr">
        <is>
          <t>A 41417-2026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46307</v>
      </c>
      <c r="F63" t="inlineStr">
        <is>
          <t>KALMAR LÄN</t>
        </is>
      </c>
      <c r="G63" t="inlineStr">
        <is>
          <t>OSKARSHAMN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HYPERLINK("https://klasma.github.io/Logging_0882/artfynd/A 41417-2026 artfynd.xlsx", "A 41417-2026")</f>
        <v/>
      </c>
      <c r="X63">
        <f>HYPERLINK("https://klasma.github.io/Logging_0882/kartor/A 41417-2026 karta.png", "A 41417-2026")</f>
        <v/>
      </c>
      <c r="Y63">
        <f>HYPERLINK("https://klasma.github.io/Logging_0882/kartor_geotiff/A 41417-2026 georefererad karta.tif", "A 41417-2026")</f>
        <v/>
      </c>
      <c r="AA63">
        <f>HYPERLINK("https://klasma.github.io/Logging_0882/klagomål/A 41417-2026 FSC-klagomål.docx", "A 41417-2026")</f>
        <v/>
      </c>
      <c r="AB63">
        <f>HYPERLINK("https://klasma.github.io/Logging_0882/klagomålsmail/A 41417-2026 FSC-klagomål mail.docx", "A 41417-2026")</f>
        <v/>
      </c>
      <c r="AC63">
        <f>HYPERLINK("https://klasma.github.io/Logging_0882/tillsyn/A 41417-2026 tillsynsbegäran.docx", "A 41417-2026")</f>
        <v/>
      </c>
      <c r="AD63">
        <f>HYPERLINK("https://klasma.github.io/Logging_0882/tillsynsmail/A 41417-2026 tillsynsbegäran mail.docx", "A 41417-2026")</f>
        <v/>
      </c>
      <c r="AE63">
        <f>HYPERLINK("https://klasma.github.io/Logging_0882/fåglar/A 41417-2026 prioriterade fågelarter.docx", "A 41417-2026")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46307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46307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46307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46307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46307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46307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46307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46307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46307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46307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46307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46307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46307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46307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46307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46307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46307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46307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46307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50933-2022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46307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46307</v>
      </c>
      <c r="F85" t="inlineStr">
        <is>
          <t>KALMAR LÄN</t>
        </is>
      </c>
      <c r="G85" t="inlineStr">
        <is>
          <t>OSKARSHAMN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46307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46307</v>
      </c>
      <c r="F87" t="inlineStr">
        <is>
          <t>KALMAR LÄN</t>
        </is>
      </c>
      <c r="G87" t="inlineStr">
        <is>
          <t>OSKARSHAMN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46307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46307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46307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46307</v>
      </c>
      <c r="F91" t="inlineStr">
        <is>
          <t>KALMAR LÄN</t>
        </is>
      </c>
      <c r="G91" t="inlineStr">
        <is>
          <t>OSKARSHAMN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46307</v>
      </c>
      <c r="F92" t="inlineStr">
        <is>
          <t>KALMAR LÄN</t>
        </is>
      </c>
      <c r="G92" t="inlineStr">
        <is>
          <t>OSKARSHAMN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46307</v>
      </c>
      <c r="F93" t="inlineStr">
        <is>
          <t>KALMAR LÄN</t>
        </is>
      </c>
      <c r="G93" t="inlineStr">
        <is>
          <t>OSKARSHAMN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46307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44497</v>
      </c>
      <c r="E95" s="1" t="n">
        <v>46307</v>
      </c>
      <c r="F95" t="inlineStr">
        <is>
          <t>KALMAR LÄN</t>
        </is>
      </c>
      <c r="G95" t="inlineStr">
        <is>
          <t>OSKARSHAMN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46307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46307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46307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46307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46307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46307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46307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46307</v>
      </c>
      <c r="F103" t="inlineStr">
        <is>
          <t>KALMAR LÄN</t>
        </is>
      </c>
      <c r="G103" t="inlineStr">
        <is>
          <t>OSKARSHAMN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46307</v>
      </c>
      <c r="F104" t="inlineStr">
        <is>
          <t>KALMAR LÄN</t>
        </is>
      </c>
      <c r="G104" t="inlineStr">
        <is>
          <t>OSKARSHAMN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46307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46307</v>
      </c>
      <c r="F106" t="inlineStr">
        <is>
          <t>KALMAR LÄN</t>
        </is>
      </c>
      <c r="G106" t="inlineStr">
        <is>
          <t>OSKARSHAMN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45406</v>
      </c>
      <c r="E107" s="1" t="n">
        <v>46307</v>
      </c>
      <c r="F107" t="inlineStr">
        <is>
          <t>KALMAR LÄN</t>
        </is>
      </c>
      <c r="G107" t="inlineStr">
        <is>
          <t>OSKARSHAMN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45407</v>
      </c>
      <c r="E108" s="1" t="n">
        <v>46307</v>
      </c>
      <c r="F108" t="inlineStr">
        <is>
          <t>KALMAR LÄN</t>
        </is>
      </c>
      <c r="G108" t="inlineStr">
        <is>
          <t>OSKARSHAMN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46307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46307</v>
      </c>
      <c r="F110" t="inlineStr">
        <is>
          <t>KALMAR LÄN</t>
        </is>
      </c>
      <c r="G110" t="inlineStr">
        <is>
          <t>OSKARSHAMN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46307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46307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46307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46307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46307</v>
      </c>
      <c r="F115" t="inlineStr">
        <is>
          <t>KALMAR LÄN</t>
        </is>
      </c>
      <c r="G115" t="inlineStr">
        <is>
          <t>OSKARSHAMN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46307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45341</v>
      </c>
      <c r="E117" s="1" t="n">
        <v>46307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46307</v>
      </c>
      <c r="F118" t="inlineStr">
        <is>
          <t>KALMAR LÄN</t>
        </is>
      </c>
      <c r="G118" t="inlineStr">
        <is>
          <t>OSKARSHAMN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46307</v>
      </c>
      <c r="F119" t="inlineStr">
        <is>
          <t>KALMAR LÄN</t>
        </is>
      </c>
      <c r="G119" t="inlineStr">
        <is>
          <t>OSKARSHAMN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46307</v>
      </c>
      <c r="F120" t="inlineStr">
        <is>
          <t>KALMAR LÄN</t>
        </is>
      </c>
      <c r="G120" t="inlineStr">
        <is>
          <t>OSKARSHAMN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46307</v>
      </c>
      <c r="F121" t="inlineStr">
        <is>
          <t>KALMAR LÄN</t>
        </is>
      </c>
      <c r="G121" t="inlineStr">
        <is>
          <t>OSKARSHAMN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46307</v>
      </c>
      <c r="F122" t="inlineStr">
        <is>
          <t>KALMAR LÄN</t>
        </is>
      </c>
      <c r="G122" t="inlineStr">
        <is>
          <t>OSKARSHAMN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46307</v>
      </c>
      <c r="F123" t="inlineStr">
        <is>
          <t>KALMAR LÄN</t>
        </is>
      </c>
      <c r="G123" t="inlineStr">
        <is>
          <t>OSKARSHAMN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8499-2023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44977</v>
      </c>
      <c r="E124" s="1" t="n">
        <v>46307</v>
      </c>
      <c r="F124" t="inlineStr">
        <is>
          <t>KALMAR LÄN</t>
        </is>
      </c>
      <c r="G124" t="inlineStr">
        <is>
          <t>OSKARSHAMN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46307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58095-2022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46307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45691</v>
      </c>
      <c r="E127" s="1" t="n">
        <v>46307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46307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44836</v>
      </c>
      <c r="E129" s="1" t="n">
        <v>46307</v>
      </c>
      <c r="F129" t="inlineStr">
        <is>
          <t>KALMAR LÄN</t>
        </is>
      </c>
      <c r="G129" t="inlineStr">
        <is>
          <t>OSKARSHAMN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46307</v>
      </c>
      <c r="F130" t="inlineStr">
        <is>
          <t>KALMAR LÄN</t>
        </is>
      </c>
      <c r="G130" t="inlineStr">
        <is>
          <t>OSKARSHAMN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44915</v>
      </c>
      <c r="E131" s="1" t="n">
        <v>46307</v>
      </c>
      <c r="F131" t="inlineStr">
        <is>
          <t>KALMAR LÄN</t>
        </is>
      </c>
      <c r="G131" t="inlineStr">
        <is>
          <t>OSKARSHAMN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46307</v>
      </c>
      <c r="F132" t="inlineStr">
        <is>
          <t>KALMAR LÄN</t>
        </is>
      </c>
      <c r="G132" t="inlineStr">
        <is>
          <t>OSKARSHAMN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46307</v>
      </c>
      <c r="F133" t="inlineStr">
        <is>
          <t>KALMAR LÄN</t>
        </is>
      </c>
      <c r="G133" t="inlineStr">
        <is>
          <t>OSKARSHAMN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45218</v>
      </c>
      <c r="E134" s="1" t="n">
        <v>46307</v>
      </c>
      <c r="F134" t="inlineStr">
        <is>
          <t>KALMAR LÄN</t>
        </is>
      </c>
      <c r="G134" t="inlineStr">
        <is>
          <t>OSKARSHAMN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46307</v>
      </c>
      <c r="F135" t="inlineStr">
        <is>
          <t>KALMAR LÄN</t>
        </is>
      </c>
      <c r="G135" t="inlineStr">
        <is>
          <t>OSKARSHAMN</t>
        </is>
      </c>
      <c r="H135" t="inlineStr">
        <is>
          <t>Kommuner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46307</v>
      </c>
      <c r="F136" t="inlineStr">
        <is>
          <t>KALMAR LÄN</t>
        </is>
      </c>
      <c r="G136" t="inlineStr">
        <is>
          <t>OSKARSHAMN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45369</v>
      </c>
      <c r="E137" s="1" t="n">
        <v>46307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45369</v>
      </c>
      <c r="E138" s="1" t="n">
        <v>46307</v>
      </c>
      <c r="F138" t="inlineStr">
        <is>
          <t>KALMAR LÄN</t>
        </is>
      </c>
      <c r="G138" t="inlineStr">
        <is>
          <t>OSKARSHAMN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44755</v>
      </c>
      <c r="E139" s="1" t="n">
        <v>46307</v>
      </c>
      <c r="F139" t="inlineStr">
        <is>
          <t>KALMAR LÄN</t>
        </is>
      </c>
      <c r="G139" t="inlineStr">
        <is>
          <t>OSKARSHAMN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46307</v>
      </c>
      <c r="F140" t="inlineStr">
        <is>
          <t>KALMAR LÄN</t>
        </is>
      </c>
      <c r="G140" t="inlineStr">
        <is>
          <t>OSKARSHAMN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45041</v>
      </c>
      <c r="E141" s="1" t="n">
        <v>46307</v>
      </c>
      <c r="F141" t="inlineStr">
        <is>
          <t>KALMAR LÄN</t>
        </is>
      </c>
      <c r="G141" t="inlineStr">
        <is>
          <t>OSKARSHAMN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46307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46307</v>
      </c>
      <c r="F143" t="inlineStr">
        <is>
          <t>KALMAR LÄN</t>
        </is>
      </c>
      <c r="G143" t="inlineStr">
        <is>
          <t>OSKARSHAMN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45105</v>
      </c>
      <c r="E144" s="1" t="n">
        <v>46307</v>
      </c>
      <c r="F144" t="inlineStr">
        <is>
          <t>KALMAR LÄN</t>
        </is>
      </c>
      <c r="G144" t="inlineStr">
        <is>
          <t>OSKARSHAMN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46307</v>
      </c>
      <c r="F145" t="inlineStr">
        <is>
          <t>KALMAR LÄN</t>
        </is>
      </c>
      <c r="G145" t="inlineStr">
        <is>
          <t>OSKARSHAMN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46307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46307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46307</v>
      </c>
      <c r="F148" t="inlineStr">
        <is>
          <t>KALMAR LÄN</t>
        </is>
      </c>
      <c r="G148" t="inlineStr">
        <is>
          <t>OSKARSHAMN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46307</v>
      </c>
      <c r="F149" t="inlineStr">
        <is>
          <t>KALMAR LÄN</t>
        </is>
      </c>
      <c r="G149" t="inlineStr">
        <is>
          <t>OSKARSHAMN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45391</v>
      </c>
      <c r="E150" s="1" t="n">
        <v>46307</v>
      </c>
      <c r="F150" t="inlineStr">
        <is>
          <t>KALMAR LÄN</t>
        </is>
      </c>
      <c r="G150" t="inlineStr">
        <is>
          <t>OSKARSHAMN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44963</v>
      </c>
      <c r="E151" s="1" t="n">
        <v>46307</v>
      </c>
      <c r="F151" t="inlineStr">
        <is>
          <t>KALMAR LÄN</t>
        </is>
      </c>
      <c r="G151" t="inlineStr">
        <is>
          <t>OSKARSHAMN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46307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46307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46307</v>
      </c>
      <c r="F154" t="inlineStr">
        <is>
          <t>KALMAR LÄN</t>
        </is>
      </c>
      <c r="G154" t="inlineStr">
        <is>
          <t>OSKARSHAMN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46307</v>
      </c>
      <c r="F155" t="inlineStr">
        <is>
          <t>KALMAR LÄN</t>
        </is>
      </c>
      <c r="G155" t="inlineStr">
        <is>
          <t>OSKARSHAMN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46307</v>
      </c>
      <c r="F156" t="inlineStr">
        <is>
          <t>KALMAR LÄN</t>
        </is>
      </c>
      <c r="G156" t="inlineStr">
        <is>
          <t>OSKARSHAMN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46307</v>
      </c>
      <c r="F157" t="inlineStr">
        <is>
          <t>KALMAR LÄN</t>
        </is>
      </c>
      <c r="G157" t="inlineStr">
        <is>
          <t>OSKARSHAMN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9385-2024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46307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46307</v>
      </c>
      <c r="F159" t="inlineStr">
        <is>
          <t>KALMAR LÄN</t>
        </is>
      </c>
      <c r="G159" t="inlineStr">
        <is>
          <t>OSKARSHAMN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46307</v>
      </c>
      <c r="F160" t="inlineStr">
        <is>
          <t>KALMAR LÄN</t>
        </is>
      </c>
      <c r="G160" t="inlineStr">
        <is>
          <t>OSKARSHAMN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45369</v>
      </c>
      <c r="E161" s="1" t="n">
        <v>46307</v>
      </c>
      <c r="F161" t="inlineStr">
        <is>
          <t>KALMAR LÄN</t>
        </is>
      </c>
      <c r="G161" t="inlineStr">
        <is>
          <t>OSKARSHAMN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46307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46307</v>
      </c>
      <c r="F163" t="inlineStr">
        <is>
          <t>KALMAR LÄN</t>
        </is>
      </c>
      <c r="G163" t="inlineStr">
        <is>
          <t>OSKARSHAMN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46307</v>
      </c>
      <c r="F164" t="inlineStr">
        <is>
          <t>KALMAR LÄN</t>
        </is>
      </c>
      <c r="G164" t="inlineStr">
        <is>
          <t>OSKARSHAMN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45314</v>
      </c>
      <c r="E165" s="1" t="n">
        <v>46307</v>
      </c>
      <c r="F165" t="inlineStr">
        <is>
          <t>KALMAR LÄN</t>
        </is>
      </c>
      <c r="G165" t="inlineStr">
        <is>
          <t>OSKARSHAMN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46307</v>
      </c>
      <c r="F166" t="inlineStr">
        <is>
          <t>KALMAR LÄN</t>
        </is>
      </c>
      <c r="G166" t="inlineStr">
        <is>
          <t>OSKARSHAMN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46307</v>
      </c>
      <c r="F167" t="inlineStr">
        <is>
          <t>KALMAR LÄN</t>
        </is>
      </c>
      <c r="G167" t="inlineStr">
        <is>
          <t>OSKARSHAMN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46307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45323</v>
      </c>
      <c r="E169" s="1" t="n">
        <v>46307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46307</v>
      </c>
      <c r="F170" t="inlineStr">
        <is>
          <t>KALMAR LÄN</t>
        </is>
      </c>
      <c r="G170" t="inlineStr">
        <is>
          <t>OSKARSHAMN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46307</v>
      </c>
      <c r="F171" t="inlineStr">
        <is>
          <t>KALMAR LÄN</t>
        </is>
      </c>
      <c r="G171" t="inlineStr">
        <is>
          <t>OSKARSHAMN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45784</v>
      </c>
      <c r="E172" s="1" t="n">
        <v>46307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46307</v>
      </c>
      <c r="F173" t="inlineStr">
        <is>
          <t>KALMAR LÄN</t>
        </is>
      </c>
      <c r="G173" t="inlineStr">
        <is>
          <t>OSKARSHAMN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46307</v>
      </c>
      <c r="F174" t="inlineStr">
        <is>
          <t>KALMAR LÄN</t>
        </is>
      </c>
      <c r="G174" t="inlineStr">
        <is>
          <t>OSKARSHAMN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46307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46307</v>
      </c>
      <c r="F176" t="inlineStr">
        <is>
          <t>KALMAR LÄN</t>
        </is>
      </c>
      <c r="G176" t="inlineStr">
        <is>
          <t>OSKARSHAMN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46307</v>
      </c>
      <c r="F177" t="inlineStr">
        <is>
          <t>KALMAR LÄN</t>
        </is>
      </c>
      <c r="G177" t="inlineStr">
        <is>
          <t>OSKARSHAMN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46307</v>
      </c>
      <c r="F178" t="inlineStr">
        <is>
          <t>KALMAR LÄN</t>
        </is>
      </c>
      <c r="G178" t="inlineStr">
        <is>
          <t>OSKARSHAMN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46307</v>
      </c>
      <c r="F179" t="inlineStr">
        <is>
          <t>KALMAR LÄN</t>
        </is>
      </c>
      <c r="G179" t="inlineStr">
        <is>
          <t>OSKARSHAMN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46307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46307</v>
      </c>
      <c r="F181" t="inlineStr">
        <is>
          <t>KALMAR LÄN</t>
        </is>
      </c>
      <c r="G181" t="inlineStr">
        <is>
          <t>OSKARSHAMN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46307</v>
      </c>
      <c r="F182" t="inlineStr">
        <is>
          <t>KALMAR LÄN</t>
        </is>
      </c>
      <c r="G182" t="inlineStr">
        <is>
          <t>OSKARSHAMN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44602</v>
      </c>
      <c r="E183" s="1" t="n">
        <v>46307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45489</v>
      </c>
      <c r="E184" s="1" t="n">
        <v>46307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46307</v>
      </c>
      <c r="F185" t="inlineStr">
        <is>
          <t>KALMAR LÄN</t>
        </is>
      </c>
      <c r="G185" t="inlineStr">
        <is>
          <t>OSKARSHAMN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46307</v>
      </c>
      <c r="F186" t="inlineStr">
        <is>
          <t>KALMAR LÄN</t>
        </is>
      </c>
      <c r="G186" t="inlineStr">
        <is>
          <t>OSKARSHAMN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46307</v>
      </c>
      <c r="F187" t="inlineStr">
        <is>
          <t>KALMAR LÄN</t>
        </is>
      </c>
      <c r="G187" t="inlineStr">
        <is>
          <t>OSKARSHAMN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46307</v>
      </c>
      <c r="F188" t="inlineStr">
        <is>
          <t>KALMAR LÄN</t>
        </is>
      </c>
      <c r="G188" t="inlineStr">
        <is>
          <t>OSKARSHAMN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45523</v>
      </c>
      <c r="E189" s="1" t="n">
        <v>46307</v>
      </c>
      <c r="F189" t="inlineStr">
        <is>
          <t>KALMAR LÄN</t>
        </is>
      </c>
      <c r="G189" t="inlineStr">
        <is>
          <t>OSKARSHAMN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46307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46307</v>
      </c>
      <c r="F191" t="inlineStr">
        <is>
          <t>KALMAR LÄN</t>
        </is>
      </c>
      <c r="G191" t="inlineStr">
        <is>
          <t>OSKARSHAMN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46307</v>
      </c>
      <c r="F192" t="inlineStr">
        <is>
          <t>KALMAR LÄN</t>
        </is>
      </c>
      <c r="G192" t="inlineStr">
        <is>
          <t>OSKARSHAMN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46307</v>
      </c>
      <c r="F193" t="inlineStr">
        <is>
          <t>KALMAR LÄN</t>
        </is>
      </c>
      <c r="G193" t="inlineStr">
        <is>
          <t>OSKARSHAMN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46307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71340-2021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46307</v>
      </c>
      <c r="F195" t="inlineStr">
        <is>
          <t>KALMAR LÄN</t>
        </is>
      </c>
      <c r="G195" t="inlineStr">
        <is>
          <t>OSKARSHAMN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45036</v>
      </c>
      <c r="E196" s="1" t="n">
        <v>46307</v>
      </c>
      <c r="F196" t="inlineStr">
        <is>
          <t>KALMAR LÄN</t>
        </is>
      </c>
      <c r="G196" t="inlineStr">
        <is>
          <t>OSKARSHAMN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46307</v>
      </c>
      <c r="F197" t="inlineStr">
        <is>
          <t>KALMAR LÄN</t>
        </is>
      </c>
      <c r="G197" t="inlineStr">
        <is>
          <t>OSKARSHAMN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44995</v>
      </c>
      <c r="E198" s="1" t="n">
        <v>46307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44995</v>
      </c>
      <c r="E199" s="1" t="n">
        <v>46307</v>
      </c>
      <c r="F199" t="inlineStr">
        <is>
          <t>KALMAR LÄN</t>
        </is>
      </c>
      <c r="G199" t="inlineStr">
        <is>
          <t>OSKARSHAMN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46307</v>
      </c>
      <c r="F200" t="inlineStr">
        <is>
          <t>KALMAR LÄN</t>
        </is>
      </c>
      <c r="G200" t="inlineStr">
        <is>
          <t>OSKARSHAMN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46307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72786-2021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44547</v>
      </c>
      <c r="E202" s="1" t="n">
        <v>46307</v>
      </c>
      <c r="F202" t="inlineStr">
        <is>
          <t>KALMAR LÄN</t>
        </is>
      </c>
      <c r="G202" t="inlineStr">
        <is>
          <t>OSKARSHAMN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42751-2025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46307</v>
      </c>
      <c r="F203" t="inlineStr">
        <is>
          <t>KALMAR LÄN</t>
        </is>
      </c>
      <c r="G203" t="inlineStr">
        <is>
          <t>OSKARSHAMN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46307</v>
      </c>
      <c r="F204" t="inlineStr">
        <is>
          <t>KALMAR LÄN</t>
        </is>
      </c>
      <c r="G204" t="inlineStr">
        <is>
          <t>OSKARSHAMN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42693-2025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45908</v>
      </c>
      <c r="E205" s="1" t="n">
        <v>46307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46307</v>
      </c>
      <c r="F206" t="inlineStr">
        <is>
          <t>KALMAR LÄN</t>
        </is>
      </c>
      <c r="G206" t="inlineStr">
        <is>
          <t>OSKARSHAMN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46307</v>
      </c>
      <c r="F207" t="inlineStr">
        <is>
          <t>KALMAR LÄN</t>
        </is>
      </c>
      <c r="G207" t="inlineStr">
        <is>
          <t>OSKARSHAMN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44908</v>
      </c>
      <c r="E208" s="1" t="n">
        <v>46307</v>
      </c>
      <c r="F208" t="inlineStr">
        <is>
          <t>KALMAR LÄN</t>
        </is>
      </c>
      <c r="G208" t="inlineStr">
        <is>
          <t>OSKARSHAMN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46307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46307</v>
      </c>
      <c r="F210" t="inlineStr">
        <is>
          <t>KALMAR LÄN</t>
        </is>
      </c>
      <c r="G210" t="inlineStr">
        <is>
          <t>OSKARSHAMN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46307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14129-2025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45740</v>
      </c>
      <c r="E212" s="1" t="n">
        <v>46307</v>
      </c>
      <c r="F212" t="inlineStr">
        <is>
          <t>KALMAR LÄN</t>
        </is>
      </c>
      <c r="G212" t="inlineStr">
        <is>
          <t>OSKARSHAMN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46307</v>
      </c>
      <c r="F213" t="inlineStr">
        <is>
          <t>KALMAR LÄN</t>
        </is>
      </c>
      <c r="G213" t="inlineStr">
        <is>
          <t>OSKARSHAMN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45280</v>
      </c>
      <c r="E214" s="1" t="n">
        <v>46307</v>
      </c>
      <c r="F214" t="inlineStr">
        <is>
          <t>KALMAR LÄN</t>
        </is>
      </c>
      <c r="G214" t="inlineStr">
        <is>
          <t>OSKARSHAMN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46307</v>
      </c>
      <c r="F215" t="inlineStr">
        <is>
          <t>KALMAR LÄN</t>
        </is>
      </c>
      <c r="G215" t="inlineStr">
        <is>
          <t>OSKARSHAMN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46307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44490</v>
      </c>
      <c r="E217" s="1" t="n">
        <v>46307</v>
      </c>
      <c r="F217" t="inlineStr">
        <is>
          <t>KALMAR LÄN</t>
        </is>
      </c>
      <c r="G217" t="inlineStr">
        <is>
          <t>OSKARSHAMN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46307</v>
      </c>
      <c r="F218" t="inlineStr">
        <is>
          <t>KALMAR LÄN</t>
        </is>
      </c>
      <c r="G218" t="inlineStr">
        <is>
          <t>OSKARSHAMN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46307</v>
      </c>
      <c r="F219" t="inlineStr">
        <is>
          <t>KALMAR LÄN</t>
        </is>
      </c>
      <c r="G219" t="inlineStr">
        <is>
          <t>OSKARSHAMN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46307</v>
      </c>
      <c r="F220" t="inlineStr">
        <is>
          <t>KALMAR LÄN</t>
        </is>
      </c>
      <c r="G220" t="inlineStr">
        <is>
          <t>OSKARSHAMN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45233</v>
      </c>
      <c r="E221" s="1" t="n">
        <v>46307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60871-2022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44914</v>
      </c>
      <c r="E222" s="1" t="n">
        <v>46307</v>
      </c>
      <c r="F222" t="inlineStr">
        <is>
          <t>KALMAR LÄN</t>
        </is>
      </c>
      <c r="G222" t="inlineStr">
        <is>
          <t>OSKARSHAMN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44621</v>
      </c>
      <c r="E223" s="1" t="n">
        <v>46307</v>
      </c>
      <c r="F223" t="inlineStr">
        <is>
          <t>KALMAR LÄN</t>
        </is>
      </c>
      <c r="G223" t="inlineStr">
        <is>
          <t>OSKARSHAMN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46307</v>
      </c>
      <c r="F224" t="inlineStr">
        <is>
          <t>KALMAR LÄN</t>
        </is>
      </c>
      <c r="G224" t="inlineStr">
        <is>
          <t>OSKARSHAMN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45572</v>
      </c>
      <c r="E225" s="1" t="n">
        <v>46307</v>
      </c>
      <c r="F225" t="inlineStr">
        <is>
          <t>KALMAR LÄN</t>
        </is>
      </c>
      <c r="G225" t="inlineStr">
        <is>
          <t>OSKARSHAMN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44995</v>
      </c>
      <c r="E226" s="1" t="n">
        <v>46307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71342-2021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46307</v>
      </c>
      <c r="F227" t="inlineStr">
        <is>
          <t>KALMAR LÄN</t>
        </is>
      </c>
      <c r="G227" t="inlineStr">
        <is>
          <t>OSKARSHAMN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45043</v>
      </c>
      <c r="E228" s="1" t="n">
        <v>46307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46307</v>
      </c>
      <c r="F229" t="inlineStr">
        <is>
          <t>KALMAR LÄN</t>
        </is>
      </c>
      <c r="G229" t="inlineStr">
        <is>
          <t>OSKARSHAMN</t>
        </is>
      </c>
      <c r="I229" t="n">
        <v>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46307</v>
      </c>
      <c r="F230" t="inlineStr">
        <is>
          <t>KALMAR LÄN</t>
        </is>
      </c>
      <c r="G230" t="inlineStr">
        <is>
          <t>OSKARSHAMN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46307</v>
      </c>
      <c r="F231" t="inlineStr">
        <is>
          <t>KALMAR LÄN</t>
        </is>
      </c>
      <c r="G231" t="inlineStr">
        <is>
          <t>OSKARSHAMN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45490</v>
      </c>
      <c r="E232" s="1" t="n">
        <v>46307</v>
      </c>
      <c r="F232" t="inlineStr">
        <is>
          <t>KALMAR LÄN</t>
        </is>
      </c>
      <c r="G232" t="inlineStr">
        <is>
          <t>OSKARSHAMN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46307</v>
      </c>
      <c r="F233" t="inlineStr">
        <is>
          <t>KALMAR LÄN</t>
        </is>
      </c>
      <c r="G233" t="inlineStr">
        <is>
          <t>OSKARSHAMN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46307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45691</v>
      </c>
      <c r="E235" s="1" t="n">
        <v>46307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46307</v>
      </c>
      <c r="F236" t="inlineStr">
        <is>
          <t>KALMAR LÄN</t>
        </is>
      </c>
      <c r="G236" t="inlineStr">
        <is>
          <t>OSKARSHAMN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46307</v>
      </c>
      <c r="F237" t="inlineStr">
        <is>
          <t>KALMAR LÄN</t>
        </is>
      </c>
      <c r="G237" t="inlineStr">
        <is>
          <t>OSKARSHAMN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46307</v>
      </c>
      <c r="F238" t="inlineStr">
        <is>
          <t>KALMAR LÄN</t>
        </is>
      </c>
      <c r="G238" t="inlineStr">
        <is>
          <t>OSKARSHAMN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45490</v>
      </c>
      <c r="E239" s="1" t="n">
        <v>46307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59710-2021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44494</v>
      </c>
      <c r="E240" s="1" t="n">
        <v>46307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46307</v>
      </c>
      <c r="F241" t="inlineStr">
        <is>
          <t>KALMAR LÄN</t>
        </is>
      </c>
      <c r="G241" t="inlineStr">
        <is>
          <t>OSKARSHAMN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46307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46307</v>
      </c>
      <c r="F243" t="inlineStr">
        <is>
          <t>KALMAR LÄN</t>
        </is>
      </c>
      <c r="G243" t="inlineStr">
        <is>
          <t>OSKARSHAMN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45580</v>
      </c>
      <c r="E244" s="1" t="n">
        <v>46307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46307</v>
      </c>
      <c r="F245" t="inlineStr">
        <is>
          <t>KALMAR LÄN</t>
        </is>
      </c>
      <c r="G245" t="inlineStr">
        <is>
          <t>OSKARSHAMN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46307</v>
      </c>
      <c r="F246" t="inlineStr">
        <is>
          <t>KALMAR LÄN</t>
        </is>
      </c>
      <c r="G246" t="inlineStr">
        <is>
          <t>OSKARSHAMN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46307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46307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46307</v>
      </c>
      <c r="F249" t="inlineStr">
        <is>
          <t>KALMAR LÄN</t>
        </is>
      </c>
      <c r="G249" t="inlineStr">
        <is>
          <t>OSKARSHAMN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46307</v>
      </c>
      <c r="F250" t="inlineStr">
        <is>
          <t>KALMAR LÄN</t>
        </is>
      </c>
      <c r="G250" t="inlineStr">
        <is>
          <t>OSKARSHAMN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46307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46307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46307</v>
      </c>
      <c r="F253" t="inlineStr">
        <is>
          <t>KALMAR LÄN</t>
        </is>
      </c>
      <c r="G253" t="inlineStr">
        <is>
          <t>OSKARSHAMN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46307</v>
      </c>
      <c r="F254" t="inlineStr">
        <is>
          <t>KALMAR LÄN</t>
        </is>
      </c>
      <c r="G254" t="inlineStr">
        <is>
          <t>OSKARSHAMN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73404-2021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44551</v>
      </c>
      <c r="E255" s="1" t="n">
        <v>46307</v>
      </c>
      <c r="F255" t="inlineStr">
        <is>
          <t>KALMAR LÄN</t>
        </is>
      </c>
      <c r="G255" t="inlineStr">
        <is>
          <t>OSKARSHAMN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46307</v>
      </c>
      <c r="F256" t="inlineStr">
        <is>
          <t>KALMAR LÄN</t>
        </is>
      </c>
      <c r="G256" t="inlineStr">
        <is>
          <t>OSKARSHAMN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46307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46307</v>
      </c>
      <c r="F258" t="inlineStr">
        <is>
          <t>KALMAR LÄN</t>
        </is>
      </c>
      <c r="G258" t="inlineStr">
        <is>
          <t>OSKARSHAMN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46307</v>
      </c>
      <c r="F259" t="inlineStr">
        <is>
          <t>KALMAR LÄN</t>
        </is>
      </c>
      <c r="G259" t="inlineStr">
        <is>
          <t>OSKARSHAMN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45567</v>
      </c>
      <c r="E260" s="1" t="n">
        <v>46307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46307</v>
      </c>
      <c r="F261" t="inlineStr">
        <is>
          <t>KALMAR LÄN</t>
        </is>
      </c>
      <c r="G261" t="inlineStr">
        <is>
          <t>OSKARSHAMN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46307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46307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46307</v>
      </c>
      <c r="F264" t="inlineStr">
        <is>
          <t>KALMAR LÄN</t>
        </is>
      </c>
      <c r="G264" t="inlineStr">
        <is>
          <t>OSKARSHAMN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46307</v>
      </c>
      <c r="F265" t="inlineStr">
        <is>
          <t>KALMAR LÄN</t>
        </is>
      </c>
      <c r="G265" t="inlineStr">
        <is>
          <t>OSKARSHAMN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46307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46307</v>
      </c>
      <c r="F267" t="inlineStr">
        <is>
          <t>KALMAR LÄN</t>
        </is>
      </c>
      <c r="G267" t="inlineStr">
        <is>
          <t>OSKARSHAMN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46307</v>
      </c>
      <c r="F268" t="inlineStr">
        <is>
          <t>KALMAR LÄN</t>
        </is>
      </c>
      <c r="G268" t="inlineStr">
        <is>
          <t>OSKARSHAMN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46307</v>
      </c>
      <c r="F269" t="inlineStr">
        <is>
          <t>KALMAR LÄN</t>
        </is>
      </c>
      <c r="G269" t="inlineStr">
        <is>
          <t>OSKARSHAMN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46307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44630</v>
      </c>
      <c r="E271" s="1" t="n">
        <v>46307</v>
      </c>
      <c r="F271" t="inlineStr">
        <is>
          <t>KALMAR LÄN</t>
        </is>
      </c>
      <c r="G271" t="inlineStr">
        <is>
          <t>OSKARSHAMN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46307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46307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46307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46307</v>
      </c>
      <c r="F275" t="inlineStr">
        <is>
          <t>KALMAR LÄN</t>
        </is>
      </c>
      <c r="G275" t="inlineStr">
        <is>
          <t>OSKARSHAMN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46307</v>
      </c>
      <c r="F276" t="inlineStr">
        <is>
          <t>KALMAR LÄN</t>
        </is>
      </c>
      <c r="G276" t="inlineStr">
        <is>
          <t>OSKARSHAMN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46307</v>
      </c>
      <c r="F277" t="inlineStr">
        <is>
          <t>KALMAR LÄN</t>
        </is>
      </c>
      <c r="G277" t="inlineStr">
        <is>
          <t>OSKARSHAMN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46307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46307</v>
      </c>
      <c r="F279" t="inlineStr">
        <is>
          <t>KALMAR LÄN</t>
        </is>
      </c>
      <c r="G279" t="inlineStr">
        <is>
          <t>OSKARSHAMN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45198</v>
      </c>
      <c r="E280" s="1" t="n">
        <v>46307</v>
      </c>
      <c r="F280" t="inlineStr">
        <is>
          <t>KALMAR LÄN</t>
        </is>
      </c>
      <c r="G280" t="inlineStr">
        <is>
          <t>OSKARSHAMN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46307</v>
      </c>
      <c r="F281" t="inlineStr">
        <is>
          <t>KALMAR LÄN</t>
        </is>
      </c>
      <c r="G281" t="inlineStr">
        <is>
          <t>OSKARSHAMN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46307</v>
      </c>
      <c r="F282" t="inlineStr">
        <is>
          <t>KALMAR LÄN</t>
        </is>
      </c>
      <c r="G282" t="inlineStr">
        <is>
          <t>OSKARSHAMN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45526</v>
      </c>
      <c r="E283" s="1" t="n">
        <v>46307</v>
      </c>
      <c r="F283" t="inlineStr">
        <is>
          <t>KALMAR LÄN</t>
        </is>
      </c>
      <c r="G283" t="inlineStr">
        <is>
          <t>OSKARSHAMN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46307</v>
      </c>
      <c r="F284" t="inlineStr">
        <is>
          <t>KALMAR LÄN</t>
        </is>
      </c>
      <c r="G284" t="inlineStr">
        <is>
          <t>OSKARSHAMN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46307</v>
      </c>
      <c r="F285" t="inlineStr">
        <is>
          <t>KALMAR LÄN</t>
        </is>
      </c>
      <c r="G285" t="inlineStr">
        <is>
          <t>OSKARSHAMN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43165-2024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45567</v>
      </c>
      <c r="E286" s="1" t="n">
        <v>46307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26132-2023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45091</v>
      </c>
      <c r="E287" s="1" t="n">
        <v>46307</v>
      </c>
      <c r="F287" t="inlineStr">
        <is>
          <t>KALMAR LÄN</t>
        </is>
      </c>
      <c r="G287" t="inlineStr">
        <is>
          <t>OSKARSHAMN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46307</v>
      </c>
      <c r="F288" t="inlineStr">
        <is>
          <t>KALMAR LÄN</t>
        </is>
      </c>
      <c r="G288" t="inlineStr">
        <is>
          <t>OSKARSHAMN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45805</v>
      </c>
      <c r="E289" s="1" t="n">
        <v>46307</v>
      </c>
      <c r="F289" t="inlineStr">
        <is>
          <t>KALMAR LÄN</t>
        </is>
      </c>
      <c r="G289" t="inlineStr">
        <is>
          <t>OSKARSHAMN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44547</v>
      </c>
      <c r="E290" s="1" t="n">
        <v>46307</v>
      </c>
      <c r="F290" t="inlineStr">
        <is>
          <t>KALMAR LÄN</t>
        </is>
      </c>
      <c r="G290" t="inlineStr">
        <is>
          <t>OSKARSHAMN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46307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45580</v>
      </c>
      <c r="E292" s="1" t="n">
        <v>46307</v>
      </c>
      <c r="F292" t="inlineStr">
        <is>
          <t>KALMAR LÄN</t>
        </is>
      </c>
      <c r="G292" t="inlineStr">
        <is>
          <t>OSKARSHAMN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46307</v>
      </c>
      <c r="F293" t="inlineStr">
        <is>
          <t>KALMAR LÄN</t>
        </is>
      </c>
      <c r="G293" t="inlineStr">
        <is>
          <t>OSKARSHAMN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45691</v>
      </c>
      <c r="E294" s="1" t="n">
        <v>46307</v>
      </c>
      <c r="F294" t="inlineStr">
        <is>
          <t>KALMAR LÄN</t>
        </is>
      </c>
      <c r="G294" t="inlineStr">
        <is>
          <t>OSKARSHAMN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45695</v>
      </c>
      <c r="E295" s="1" t="n">
        <v>46307</v>
      </c>
      <c r="F295" t="inlineStr">
        <is>
          <t>KALMAR LÄN</t>
        </is>
      </c>
      <c r="G295" t="inlineStr">
        <is>
          <t>OSKARSHAMN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45695</v>
      </c>
      <c r="E296" s="1" t="n">
        <v>46307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44713</v>
      </c>
      <c r="E297" s="1" t="n">
        <v>46307</v>
      </c>
      <c r="F297" t="inlineStr">
        <is>
          <t>KALMAR LÄN</t>
        </is>
      </c>
      <c r="G297" t="inlineStr">
        <is>
          <t>OSKARSHAMN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44608</v>
      </c>
      <c r="E298" s="1" t="n">
        <v>46307</v>
      </c>
      <c r="F298" t="inlineStr">
        <is>
          <t>KALMAR LÄN</t>
        </is>
      </c>
      <c r="G298" t="inlineStr">
        <is>
          <t>OSKARSHAMN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46307</v>
      </c>
      <c r="F299" t="inlineStr">
        <is>
          <t>KALMAR LÄN</t>
        </is>
      </c>
      <c r="G299" t="inlineStr">
        <is>
          <t>OSKARSHAMN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46307</v>
      </c>
      <c r="F300" t="inlineStr">
        <is>
          <t>KALMAR LÄN</t>
        </is>
      </c>
      <c r="G300" t="inlineStr">
        <is>
          <t>OSKARSHAMN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46307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51076-2024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46307</v>
      </c>
      <c r="F302" t="inlineStr">
        <is>
          <t>KALMAR LÄN</t>
        </is>
      </c>
      <c r="G302" t="inlineStr">
        <is>
          <t>OSKARSHAMN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45204</v>
      </c>
      <c r="E303" s="1" t="n">
        <v>46307</v>
      </c>
      <c r="F303" t="inlineStr">
        <is>
          <t>KALMAR LÄN</t>
        </is>
      </c>
      <c r="G303" t="inlineStr">
        <is>
          <t>OSKARSHAMN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50409-2025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45944</v>
      </c>
      <c r="E304" s="1" t="n">
        <v>46307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50572-2024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45601</v>
      </c>
      <c r="E305" s="1" t="n">
        <v>46307</v>
      </c>
      <c r="F305" t="inlineStr">
        <is>
          <t>KALMAR LÄN</t>
        </is>
      </c>
      <c r="G305" t="inlineStr">
        <is>
          <t>OSKARSHAMN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48500-2023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45207</v>
      </c>
      <c r="E306" s="1" t="n">
        <v>46307</v>
      </c>
      <c r="F306" t="inlineStr">
        <is>
          <t>KALMAR LÄN</t>
        </is>
      </c>
      <c r="G306" t="inlineStr">
        <is>
          <t>OSKARSHAMN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46307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46307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46307</v>
      </c>
      <c r="F309" t="inlineStr">
        <is>
          <t>KALMAR LÄN</t>
        </is>
      </c>
      <c r="G309" t="inlineStr">
        <is>
          <t>OSKARSHAMN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46307</v>
      </c>
      <c r="F310" t="inlineStr">
        <is>
          <t>KALMAR LÄN</t>
        </is>
      </c>
      <c r="G310" t="inlineStr">
        <is>
          <t>OSKARSHAMN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46307</v>
      </c>
      <c r="F311" t="inlineStr">
        <is>
          <t>KALMAR LÄN</t>
        </is>
      </c>
      <c r="G311" t="inlineStr">
        <is>
          <t>OSKARSHAMN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46307</v>
      </c>
      <c r="F312" t="inlineStr">
        <is>
          <t>KALMAR LÄN</t>
        </is>
      </c>
      <c r="G312" t="inlineStr">
        <is>
          <t>OSKARSHAMN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46307</v>
      </c>
      <c r="F313" t="inlineStr">
        <is>
          <t>KALMAR LÄN</t>
        </is>
      </c>
      <c r="G313" t="inlineStr">
        <is>
          <t>OSKARSHAMN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46307</v>
      </c>
      <c r="F314" t="inlineStr">
        <is>
          <t>KALMAR LÄN</t>
        </is>
      </c>
      <c r="G314" t="inlineStr">
        <is>
          <t>OSKARSHAMN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45254</v>
      </c>
      <c r="E315" s="1" t="n">
        <v>46307</v>
      </c>
      <c r="F315" t="inlineStr">
        <is>
          <t>KALMAR LÄN</t>
        </is>
      </c>
      <c r="G315" t="inlineStr">
        <is>
          <t>OSKARSHAMN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46307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46307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46307</v>
      </c>
      <c r="F318" t="inlineStr">
        <is>
          <t>KALMAR LÄN</t>
        </is>
      </c>
      <c r="G318" t="inlineStr">
        <is>
          <t>OSKARSHAMN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45090</v>
      </c>
      <c r="E319" s="1" t="n">
        <v>46307</v>
      </c>
      <c r="F319" t="inlineStr">
        <is>
          <t>KALMAR LÄN</t>
        </is>
      </c>
      <c r="G319" t="inlineStr">
        <is>
          <t>OSKARSHAMN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46307</v>
      </c>
      <c r="F320" t="inlineStr">
        <is>
          <t>KALMAR LÄN</t>
        </is>
      </c>
      <c r="G320" t="inlineStr">
        <is>
          <t>OSKARSHAMN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46307</v>
      </c>
      <c r="F321" t="inlineStr">
        <is>
          <t>KALMAR LÄN</t>
        </is>
      </c>
      <c r="G321" t="inlineStr">
        <is>
          <t>OSKARSHAMN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46307</v>
      </c>
      <c r="F322" t="inlineStr">
        <is>
          <t>KALMAR LÄN</t>
        </is>
      </c>
      <c r="G322" t="inlineStr">
        <is>
          <t>OSKARSHAMN</t>
        </is>
      </c>
      <c r="I322" t="n">
        <v>11.7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44987</v>
      </c>
      <c r="E323" s="1" t="n">
        <v>46307</v>
      </c>
      <c r="F323" t="inlineStr">
        <is>
          <t>KALMAR LÄN</t>
        </is>
      </c>
      <c r="G323" t="inlineStr">
        <is>
          <t>OSKARSHAMN</t>
        </is>
      </c>
      <c r="H323" t="inlineStr">
        <is>
          <t>Kommuner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45805</v>
      </c>
      <c r="E324" s="1" t="n">
        <v>46307</v>
      </c>
      <c r="F324" t="inlineStr">
        <is>
          <t>KALMAR LÄN</t>
        </is>
      </c>
      <c r="G324" t="inlineStr">
        <is>
          <t>OSKARSHAMN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46307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44818</v>
      </c>
      <c r="E326" s="1" t="n">
        <v>46307</v>
      </c>
      <c r="F326" t="inlineStr">
        <is>
          <t>KALMAR LÄN</t>
        </is>
      </c>
      <c r="G326" t="inlineStr">
        <is>
          <t>OSKARSHAMN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46307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46307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46307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46307</v>
      </c>
      <c r="F330" t="inlineStr">
        <is>
          <t>KALMAR LÄN</t>
        </is>
      </c>
      <c r="G330" t="inlineStr">
        <is>
          <t>OSKARSHAMN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45792</v>
      </c>
      <c r="E331" s="1" t="n">
        <v>46307</v>
      </c>
      <c r="F331" t="inlineStr">
        <is>
          <t>KALMAR LÄN</t>
        </is>
      </c>
      <c r="G331" t="inlineStr">
        <is>
          <t>OSKARSHAMN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45792</v>
      </c>
      <c r="E332" s="1" t="n">
        <v>46307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46307</v>
      </c>
      <c r="F333" t="inlineStr">
        <is>
          <t>KALMAR LÄN</t>
        </is>
      </c>
      <c r="G333" t="inlineStr">
        <is>
          <t>OSKARSHAMN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46307</v>
      </c>
      <c r="F334" t="inlineStr">
        <is>
          <t>KALMAR LÄN</t>
        </is>
      </c>
      <c r="G334" t="inlineStr">
        <is>
          <t>OSKARSHAMN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46307</v>
      </c>
      <c r="F335" t="inlineStr">
        <is>
          <t>KALMAR LÄN</t>
        </is>
      </c>
      <c r="G335" t="inlineStr">
        <is>
          <t>OSKARSHAMN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46307</v>
      </c>
      <c r="F336" t="inlineStr">
        <is>
          <t>KALMAR LÄN</t>
        </is>
      </c>
      <c r="G336" t="inlineStr">
        <is>
          <t>OSKARSHAMN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46307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29021-2022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46307</v>
      </c>
      <c r="F338" t="inlineStr">
        <is>
          <t>KALMAR LÄN</t>
        </is>
      </c>
      <c r="G338" t="inlineStr">
        <is>
          <t>OSKARSHAMN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46307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46307</v>
      </c>
      <c r="F340" t="inlineStr">
        <is>
          <t>KALMAR LÄN</t>
        </is>
      </c>
      <c r="G340" t="inlineStr">
        <is>
          <t>OSKARSHAMN</t>
        </is>
      </c>
      <c r="I340" t="n">
        <v>12.9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45169</v>
      </c>
      <c r="E341" s="1" t="n">
        <v>46307</v>
      </c>
      <c r="F341" t="inlineStr">
        <is>
          <t>KALMAR LÄN</t>
        </is>
      </c>
      <c r="G341" t="inlineStr">
        <is>
          <t>OSKARSHAMN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8656-2022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44613</v>
      </c>
      <c r="E342" s="1" t="n">
        <v>46307</v>
      </c>
      <c r="F342" t="inlineStr">
        <is>
          <t>KALMAR LÄN</t>
        </is>
      </c>
      <c r="G342" t="inlineStr">
        <is>
          <t>OSKARSHAMN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46307</v>
      </c>
      <c r="F343" t="inlineStr">
        <is>
          <t>KALMAR LÄN</t>
        </is>
      </c>
      <c r="G343" t="inlineStr">
        <is>
          <t>OSKARSHAMN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45408</v>
      </c>
      <c r="E344" s="1" t="n">
        <v>46307</v>
      </c>
      <c r="F344" t="inlineStr">
        <is>
          <t>KALMAR LÄN</t>
        </is>
      </c>
      <c r="G344" t="inlineStr">
        <is>
          <t>OSKARSHAMN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46307</v>
      </c>
      <c r="F345" t="inlineStr">
        <is>
          <t>KALMAR LÄN</t>
        </is>
      </c>
      <c r="G345" t="inlineStr">
        <is>
          <t>OSKARSHAMN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45034</v>
      </c>
      <c r="E346" s="1" t="n">
        <v>46307</v>
      </c>
      <c r="F346" t="inlineStr">
        <is>
          <t>KALMAR LÄN</t>
        </is>
      </c>
      <c r="G346" t="inlineStr">
        <is>
          <t>OSKARSHAMN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46307</v>
      </c>
      <c r="F347" t="inlineStr">
        <is>
          <t>KALMAR LÄN</t>
        </is>
      </c>
      <c r="G347" t="inlineStr">
        <is>
          <t>OSKARSHAMN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44756</v>
      </c>
      <c r="E348" s="1" t="n">
        <v>46307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46307</v>
      </c>
      <c r="F349" t="inlineStr">
        <is>
          <t>KALMAR LÄN</t>
        </is>
      </c>
      <c r="G349" t="inlineStr">
        <is>
          <t>OSKARSHAMN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46307</v>
      </c>
      <c r="F350" t="inlineStr">
        <is>
          <t>KALMAR LÄN</t>
        </is>
      </c>
      <c r="G350" t="inlineStr">
        <is>
          <t>OSKARSHAMN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46307</v>
      </c>
      <c r="F351" t="inlineStr">
        <is>
          <t>KALMAR LÄN</t>
        </is>
      </c>
      <c r="G351" t="inlineStr">
        <is>
          <t>OSKARSHAMN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46307</v>
      </c>
      <c r="F352" t="inlineStr">
        <is>
          <t>KALMAR LÄN</t>
        </is>
      </c>
      <c r="G352" t="inlineStr">
        <is>
          <t>OSKARSHAMN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46307</v>
      </c>
      <c r="F353" t="inlineStr">
        <is>
          <t>KALMAR LÄN</t>
        </is>
      </c>
      <c r="G353" t="inlineStr">
        <is>
          <t>OSKARSHAMN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16673-2024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45408</v>
      </c>
      <c r="E354" s="1" t="n">
        <v>46307</v>
      </c>
      <c r="F354" t="inlineStr">
        <is>
          <t>KALMAR LÄN</t>
        </is>
      </c>
      <c r="G354" t="inlineStr">
        <is>
          <t>OSKARSHAMN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46307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22818-2024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46307</v>
      </c>
      <c r="F356" t="inlineStr">
        <is>
          <t>KALMAR LÄN</t>
        </is>
      </c>
      <c r="G356" t="inlineStr">
        <is>
          <t>OSKARSHAMN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46307</v>
      </c>
      <c r="F357" t="inlineStr">
        <is>
          <t>KALMAR LÄN</t>
        </is>
      </c>
      <c r="G357" t="inlineStr">
        <is>
          <t>OSKARSHAMN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45531</v>
      </c>
      <c r="E358" s="1" t="n">
        <v>46307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45625</v>
      </c>
      <c r="E359" s="1" t="n">
        <v>46307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45349</v>
      </c>
      <c r="E360" s="1" t="n">
        <v>46307</v>
      </c>
      <c r="F360" t="inlineStr">
        <is>
          <t>KALMAR LÄN</t>
        </is>
      </c>
      <c r="G360" t="inlineStr">
        <is>
          <t>OSKARSHAMN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62623-2021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46307</v>
      </c>
      <c r="F361" t="inlineStr">
        <is>
          <t>KALMAR LÄN</t>
        </is>
      </c>
      <c r="G361" t="inlineStr">
        <is>
          <t>OSKARSHAMN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61854-2022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44917</v>
      </c>
      <c r="E362" s="1" t="n">
        <v>46307</v>
      </c>
      <c r="F362" t="inlineStr">
        <is>
          <t>KALMAR LÄN</t>
        </is>
      </c>
      <c r="G362" t="inlineStr">
        <is>
          <t>OSKARSHAMN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45330</v>
      </c>
      <c r="E363" s="1" t="n">
        <v>46307</v>
      </c>
      <c r="F363" t="inlineStr">
        <is>
          <t>KALMAR LÄN</t>
        </is>
      </c>
      <c r="G363" t="inlineStr">
        <is>
          <t>OSKARSHAMN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46307</v>
      </c>
      <c r="F364" t="inlineStr">
        <is>
          <t>KALMAR LÄN</t>
        </is>
      </c>
      <c r="G364" t="inlineStr">
        <is>
          <t>OSKARSHAMN</t>
        </is>
      </c>
      <c r="I364" t="n">
        <v>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44978</v>
      </c>
      <c r="E365" s="1" t="n">
        <v>46307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46307</v>
      </c>
      <c r="F366" t="inlineStr">
        <is>
          <t>KALMAR LÄN</t>
        </is>
      </c>
      <c r="G366" t="inlineStr">
        <is>
          <t>OSKARSHAMN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44663</v>
      </c>
      <c r="E367" s="1" t="n">
        <v>46307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46307</v>
      </c>
      <c r="F368" t="inlineStr">
        <is>
          <t>KALMAR LÄN</t>
        </is>
      </c>
      <c r="G368" t="inlineStr">
        <is>
          <t>OSKARSHAMN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11450-2024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46307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44818</v>
      </c>
      <c r="E370" s="1" t="n">
        <v>46307</v>
      </c>
      <c r="F370" t="inlineStr">
        <is>
          <t>KALMAR LÄN</t>
        </is>
      </c>
      <c r="G370" t="inlineStr">
        <is>
          <t>OSKARSHAMN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45294</v>
      </c>
      <c r="E371" s="1" t="n">
        <v>46307</v>
      </c>
      <c r="F371" t="inlineStr">
        <is>
          <t>KALMAR LÄN</t>
        </is>
      </c>
      <c r="G371" t="inlineStr">
        <is>
          <t>OSKARSHAMN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46307</v>
      </c>
      <c r="F372" t="inlineStr">
        <is>
          <t>KALMAR LÄN</t>
        </is>
      </c>
      <c r="G372" t="inlineStr">
        <is>
          <t>OSKARSHAMN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46307</v>
      </c>
      <c r="F373" t="inlineStr">
        <is>
          <t>KALMAR LÄN</t>
        </is>
      </c>
      <c r="G373" t="inlineStr">
        <is>
          <t>OSKARSHAMN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46307</v>
      </c>
      <c r="F374" t="inlineStr">
        <is>
          <t>KALMAR LÄN</t>
        </is>
      </c>
      <c r="G374" t="inlineStr">
        <is>
          <t>OSKARSHAMN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63522-2023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45274</v>
      </c>
      <c r="E375" s="1" t="n">
        <v>46307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46307</v>
      </c>
      <c r="F376" t="inlineStr">
        <is>
          <t>KALMAR LÄN</t>
        </is>
      </c>
      <c r="G376" t="inlineStr">
        <is>
          <t>OSKARSHAMN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58401-2021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46307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46307</v>
      </c>
      <c r="F378" t="inlineStr">
        <is>
          <t>KALMAR LÄN</t>
        </is>
      </c>
      <c r="G378" t="inlineStr">
        <is>
          <t>OSKARSHAMN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45756</v>
      </c>
      <c r="E379" s="1" t="n">
        <v>46307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44733</v>
      </c>
      <c r="E380" s="1" t="n">
        <v>46307</v>
      </c>
      <c r="F380" t="inlineStr">
        <is>
          <t>KALMAR LÄN</t>
        </is>
      </c>
      <c r="G380" t="inlineStr">
        <is>
          <t>OSKARSHAMN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46307</v>
      </c>
      <c r="F381" t="inlineStr">
        <is>
          <t>KALMAR LÄN</t>
        </is>
      </c>
      <c r="G381" t="inlineStr">
        <is>
          <t>OSKARSHAMN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46307</v>
      </c>
      <c r="F382" t="inlineStr">
        <is>
          <t>KALMAR LÄN</t>
        </is>
      </c>
      <c r="G382" t="inlineStr">
        <is>
          <t>OSKARSHAMN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45589</v>
      </c>
      <c r="E383" s="1" t="n">
        <v>46307</v>
      </c>
      <c r="F383" t="inlineStr">
        <is>
          <t>KALMAR LÄN</t>
        </is>
      </c>
      <c r="G383" t="inlineStr">
        <is>
          <t>OSKARSHAMN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46099</v>
      </c>
      <c r="E384" s="1" t="n">
        <v>46307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45245</v>
      </c>
      <c r="E385" s="1" t="n">
        <v>46307</v>
      </c>
      <c r="F385" t="inlineStr">
        <is>
          <t>KALMAR LÄN</t>
        </is>
      </c>
      <c r="G385" t="inlineStr">
        <is>
          <t>OSKARSHAMN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46307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44879</v>
      </c>
      <c r="E387" s="1" t="n">
        <v>46307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44621</v>
      </c>
      <c r="E388" s="1" t="n">
        <v>46307</v>
      </c>
      <c r="F388" t="inlineStr">
        <is>
          <t>KALMAR LÄN</t>
        </is>
      </c>
      <c r="G388" t="inlineStr">
        <is>
          <t>OSKARSHAMN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13204-2024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45386</v>
      </c>
      <c r="E389" s="1" t="n">
        <v>46307</v>
      </c>
      <c r="F389" t="inlineStr">
        <is>
          <t>KALMAR LÄN</t>
        </is>
      </c>
      <c r="G389" t="inlineStr">
        <is>
          <t>OSKARSHAMN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46307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46307</v>
      </c>
      <c r="F391" t="inlineStr">
        <is>
          <t>KALMAR LÄN</t>
        </is>
      </c>
      <c r="G391" t="inlineStr">
        <is>
          <t>OSKARSHAMN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46307</v>
      </c>
      <c r="F392" t="inlineStr">
        <is>
          <t>KALMAR LÄN</t>
        </is>
      </c>
      <c r="G392" t="inlineStr">
        <is>
          <t>OSKARSHAMN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15525-2026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46106</v>
      </c>
      <c r="E393" s="1" t="n">
        <v>46307</v>
      </c>
      <c r="F393" t="inlineStr">
        <is>
          <t>KALMAR LÄN</t>
        </is>
      </c>
      <c r="G393" t="inlineStr">
        <is>
          <t>OSKARSHAMN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45320</v>
      </c>
      <c r="E394" s="1" t="n">
        <v>46307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46307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46307</v>
      </c>
      <c r="F396" t="inlineStr">
        <is>
          <t>KALMAR LÄN</t>
        </is>
      </c>
      <c r="G396" t="inlineStr">
        <is>
          <t>OSKARSHAMN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22801-2024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45448</v>
      </c>
      <c r="E397" s="1" t="n">
        <v>46307</v>
      </c>
      <c r="F397" t="inlineStr">
        <is>
          <t>KALMAR LÄN</t>
        </is>
      </c>
      <c r="G397" t="inlineStr">
        <is>
          <t>OSKARSHAMN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46307</v>
      </c>
      <c r="F398" t="inlineStr">
        <is>
          <t>KALMAR LÄN</t>
        </is>
      </c>
      <c r="G398" t="inlineStr">
        <is>
          <t>OSKARSHAMN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46307</v>
      </c>
      <c r="F399" t="inlineStr">
        <is>
          <t>KALMAR LÄN</t>
        </is>
      </c>
      <c r="G399" t="inlineStr">
        <is>
          <t>OSKARSHAMN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46307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46307</v>
      </c>
      <c r="F401" t="inlineStr">
        <is>
          <t>KALMAR LÄN</t>
        </is>
      </c>
      <c r="G401" t="inlineStr">
        <is>
          <t>OSKARSHAMN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46307</v>
      </c>
      <c r="F402" t="inlineStr">
        <is>
          <t>KALMAR LÄN</t>
        </is>
      </c>
      <c r="G402" t="inlineStr">
        <is>
          <t>OSKARSHAMN</t>
        </is>
      </c>
      <c r="H402" t="inlineStr">
        <is>
          <t>Kommuner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45433</v>
      </c>
      <c r="E403" s="1" t="n">
        <v>46307</v>
      </c>
      <c r="F403" t="inlineStr">
        <is>
          <t>KALMAR LÄN</t>
        </is>
      </c>
      <c r="G403" t="inlineStr">
        <is>
          <t>OSKARSHAMN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58406-2021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44488</v>
      </c>
      <c r="E404" s="1" t="n">
        <v>46307</v>
      </c>
      <c r="F404" t="inlineStr">
        <is>
          <t>KALMAR LÄN</t>
        </is>
      </c>
      <c r="G404" t="inlineStr">
        <is>
          <t>OSKARSHAMN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46307</v>
      </c>
      <c r="F405" t="inlineStr">
        <is>
          <t>KALMAR LÄN</t>
        </is>
      </c>
      <c r="G405" t="inlineStr">
        <is>
          <t>OSKARSHAMN</t>
        </is>
      </c>
      <c r="H405" t="inlineStr">
        <is>
          <t>Övriga Aktiebolag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46307</v>
      </c>
      <c r="F406" t="inlineStr">
        <is>
          <t>KALMAR LÄN</t>
        </is>
      </c>
      <c r="G406" t="inlineStr">
        <is>
          <t>OSKARSHAMN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10424-2025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45720</v>
      </c>
      <c r="E407" s="1" t="n">
        <v>46307</v>
      </c>
      <c r="F407" t="inlineStr">
        <is>
          <t>KALMAR LÄN</t>
        </is>
      </c>
      <c r="G407" t="inlineStr">
        <is>
          <t>OSKARSHAMN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27684-2022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44743</v>
      </c>
      <c r="E408" s="1" t="n">
        <v>46307</v>
      </c>
      <c r="F408" t="inlineStr">
        <is>
          <t>KALMAR LÄN</t>
        </is>
      </c>
      <c r="G408" t="inlineStr">
        <is>
          <t>OSKARSHAMN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46307</v>
      </c>
      <c r="F409" t="inlineStr">
        <is>
          <t>KALMAR LÄN</t>
        </is>
      </c>
      <c r="G409" t="inlineStr">
        <is>
          <t>OSKARSHAMN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46307</v>
      </c>
      <c r="F410" t="inlineStr">
        <is>
          <t>KALMAR LÄN</t>
        </is>
      </c>
      <c r="G410" t="inlineStr">
        <is>
          <t>OSKARSHAMN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46307</v>
      </c>
      <c r="F411" t="inlineStr">
        <is>
          <t>KALMAR LÄN</t>
        </is>
      </c>
      <c r="G411" t="inlineStr">
        <is>
          <t>OSKARSHAMN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46307</v>
      </c>
      <c r="F412" t="inlineStr">
        <is>
          <t>KALMAR LÄN</t>
        </is>
      </c>
      <c r="G412" t="inlineStr">
        <is>
          <t>OSKARSHAMN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46307</v>
      </c>
      <c r="F413" t="inlineStr">
        <is>
          <t>KALMAR LÄN</t>
        </is>
      </c>
      <c r="G413" t="inlineStr">
        <is>
          <t>OSKARSHAMN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46307</v>
      </c>
      <c r="F414" t="inlineStr">
        <is>
          <t>KALMAR LÄN</t>
        </is>
      </c>
      <c r="G414" t="inlineStr">
        <is>
          <t>OSKARSHAMN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46307</v>
      </c>
      <c r="F415" t="inlineStr">
        <is>
          <t>KALMAR LÄN</t>
        </is>
      </c>
      <c r="G415" t="inlineStr">
        <is>
          <t>OSKARSHAMN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46307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46307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46307</v>
      </c>
      <c r="F418" t="inlineStr">
        <is>
          <t>KALMAR LÄN</t>
        </is>
      </c>
      <c r="G418" t="inlineStr">
        <is>
          <t>OSKARSHAMN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46307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46307</v>
      </c>
      <c r="F420" t="inlineStr">
        <is>
          <t>KALMAR LÄN</t>
        </is>
      </c>
      <c r="G420" t="inlineStr">
        <is>
          <t>OSKARSHAMN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61862-2022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44917</v>
      </c>
      <c r="E421" s="1" t="n">
        <v>46307</v>
      </c>
      <c r="F421" t="inlineStr">
        <is>
          <t>KALMAR LÄN</t>
        </is>
      </c>
      <c r="G421" t="inlineStr">
        <is>
          <t>OSKARSHAMN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46307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46307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46307</v>
      </c>
      <c r="F424" t="inlineStr">
        <is>
          <t>KALMAR LÄN</t>
        </is>
      </c>
      <c r="G424" t="inlineStr">
        <is>
          <t>OSKARSHAMN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46307</v>
      </c>
      <c r="F425" t="inlineStr">
        <is>
          <t>KALMAR LÄN</t>
        </is>
      </c>
      <c r="G425" t="inlineStr">
        <is>
          <t>OSKARSHAMN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45369</v>
      </c>
      <c r="E426" s="1" t="n">
        <v>46307</v>
      </c>
      <c r="F426" t="inlineStr">
        <is>
          <t>KALMAR LÄN</t>
        </is>
      </c>
      <c r="G426" t="inlineStr">
        <is>
          <t>OSKARSHAMN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46307</v>
      </c>
      <c r="F427" t="inlineStr">
        <is>
          <t>KALMAR LÄN</t>
        </is>
      </c>
      <c r="G427" t="inlineStr">
        <is>
          <t>OSKARSHAMN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45763</v>
      </c>
      <c r="E428" s="1" t="n">
        <v>46307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44862</v>
      </c>
      <c r="E429" s="1" t="n">
        <v>46307</v>
      </c>
      <c r="F429" t="inlineStr">
        <is>
          <t>KALMAR LÄN</t>
        </is>
      </c>
      <c r="G429" t="inlineStr">
        <is>
          <t>OSKARSHAMN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58448-2025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46307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46307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46307</v>
      </c>
      <c r="F432" t="inlineStr">
        <is>
          <t>KALMAR LÄN</t>
        </is>
      </c>
      <c r="G432" t="inlineStr">
        <is>
          <t>OSKARSHAMN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46307</v>
      </c>
      <c r="F433" t="inlineStr">
        <is>
          <t>KALMAR LÄN</t>
        </is>
      </c>
      <c r="G433" t="inlineStr">
        <is>
          <t>OSKARSHAMN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46307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42867-2025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45908</v>
      </c>
      <c r="E435" s="1" t="n">
        <v>46307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46307</v>
      </c>
      <c r="F436" t="inlineStr">
        <is>
          <t>KALMAR LÄN</t>
        </is>
      </c>
      <c r="G436" t="inlineStr">
        <is>
          <t>OSKARSHAMN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45405</v>
      </c>
      <c r="E437" s="1" t="n">
        <v>46307</v>
      </c>
      <c r="F437" t="inlineStr">
        <is>
          <t>KALMAR LÄN</t>
        </is>
      </c>
      <c r="G437" t="inlineStr">
        <is>
          <t>OSKARSHAMN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45405</v>
      </c>
      <c r="E438" s="1" t="n">
        <v>46307</v>
      </c>
      <c r="F438" t="inlineStr">
        <is>
          <t>KALMAR LÄN</t>
        </is>
      </c>
      <c r="G438" t="inlineStr">
        <is>
          <t>OSKARSHAMN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45256</v>
      </c>
      <c r="E439" s="1" t="n">
        <v>46307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46307</v>
      </c>
      <c r="F440" t="inlineStr">
        <is>
          <t>KALMAR LÄN</t>
        </is>
      </c>
      <c r="G440" t="inlineStr">
        <is>
          <t>OSKARSHAMN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46307</v>
      </c>
      <c r="F441" t="inlineStr">
        <is>
          <t>KALMAR LÄN</t>
        </is>
      </c>
      <c r="G441" t="inlineStr">
        <is>
          <t>OSKARSHAMN</t>
        </is>
      </c>
      <c r="I441" t="n">
        <v>10.7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46307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46307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45034</v>
      </c>
      <c r="E444" s="1" t="n">
        <v>46307</v>
      </c>
      <c r="F444" t="inlineStr">
        <is>
          <t>KALMAR LÄN</t>
        </is>
      </c>
      <c r="G444" t="inlineStr">
        <is>
          <t>OSKARSHAMN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46307</v>
      </c>
      <c r="F445" t="inlineStr">
        <is>
          <t>KALMAR LÄN</t>
        </is>
      </c>
      <c r="G445" t="inlineStr">
        <is>
          <t>OSKARSHAMN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45056</v>
      </c>
      <c r="E446" s="1" t="n">
        <v>46307</v>
      </c>
      <c r="F446" t="inlineStr">
        <is>
          <t>KALMAR LÄN</t>
        </is>
      </c>
      <c r="G446" t="inlineStr">
        <is>
          <t>OSKARSHAMN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46307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10630-2022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44624</v>
      </c>
      <c r="E448" s="1" t="n">
        <v>46307</v>
      </c>
      <c r="F448" t="inlineStr">
        <is>
          <t>KALMAR LÄN</t>
        </is>
      </c>
      <c r="G448" t="inlineStr">
        <is>
          <t>OSKARSHAMN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46307</v>
      </c>
      <c r="F449" t="inlineStr">
        <is>
          <t>KALMAR LÄN</t>
        </is>
      </c>
      <c r="G449" t="inlineStr">
        <is>
          <t>OSKARSHAMN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46307</v>
      </c>
      <c r="F450" t="inlineStr">
        <is>
          <t>KALMAR LÄN</t>
        </is>
      </c>
      <c r="G450" t="inlineStr">
        <is>
          <t>OSKARSHAMN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45448</v>
      </c>
      <c r="E451" s="1" t="n">
        <v>46307</v>
      </c>
      <c r="F451" t="inlineStr">
        <is>
          <t>KALMAR LÄN</t>
        </is>
      </c>
      <c r="G451" t="inlineStr">
        <is>
          <t>OSKARSHAMN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63711-2021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44505</v>
      </c>
      <c r="E452" s="1" t="n">
        <v>46307</v>
      </c>
      <c r="F452" t="inlineStr">
        <is>
          <t>KALMAR LÄN</t>
        </is>
      </c>
      <c r="G452" t="inlineStr">
        <is>
          <t>OSKARSHAMN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46307</v>
      </c>
      <c r="F453" t="inlineStr">
        <is>
          <t>KALMAR LÄN</t>
        </is>
      </c>
      <c r="G453" t="inlineStr">
        <is>
          <t>OSKARSHAMN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46307</v>
      </c>
      <c r="F454" t="inlineStr">
        <is>
          <t>KALMAR LÄN</t>
        </is>
      </c>
      <c r="G454" t="inlineStr">
        <is>
          <t>OSKARSHAMN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46307</v>
      </c>
      <c r="F455" t="inlineStr">
        <is>
          <t>KALMAR LÄN</t>
        </is>
      </c>
      <c r="G455" t="inlineStr">
        <is>
          <t>OSKARSHAMN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49909-2022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46307</v>
      </c>
      <c r="F456" t="inlineStr">
        <is>
          <t>KALMAR LÄN</t>
        </is>
      </c>
      <c r="G456" t="inlineStr">
        <is>
          <t>OSKARSHAMN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44994</v>
      </c>
      <c r="E457" s="1" t="n">
        <v>46307</v>
      </c>
      <c r="F457" t="inlineStr">
        <is>
          <t>KALMAR LÄN</t>
        </is>
      </c>
      <c r="G457" t="inlineStr">
        <is>
          <t>OSKARSHAMN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44973</v>
      </c>
      <c r="E458" s="1" t="n">
        <v>46307</v>
      </c>
      <c r="F458" t="inlineStr">
        <is>
          <t>KALMAR LÄN</t>
        </is>
      </c>
      <c r="G458" t="inlineStr">
        <is>
          <t>OSKARSHAMN</t>
        </is>
      </c>
      <c r="H458" t="inlineStr">
        <is>
          <t>Övriga Aktiebolag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45096</v>
      </c>
      <c r="E459" s="1" t="n">
        <v>46307</v>
      </c>
      <c r="F459" t="inlineStr">
        <is>
          <t>KALMAR LÄN</t>
        </is>
      </c>
      <c r="G459" t="inlineStr">
        <is>
          <t>OSKARSHAMN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46307</v>
      </c>
      <c r="F460" t="inlineStr">
        <is>
          <t>KALMAR LÄN</t>
        </is>
      </c>
      <c r="G460" t="inlineStr">
        <is>
          <t>OSKARSHAMN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46307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45379</v>
      </c>
      <c r="E462" s="1" t="n">
        <v>46307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44621</v>
      </c>
      <c r="E463" s="1" t="n">
        <v>46307</v>
      </c>
      <c r="F463" t="inlineStr">
        <is>
          <t>KALMAR LÄN</t>
        </is>
      </c>
      <c r="G463" t="inlineStr">
        <is>
          <t>OSKARSHAMN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46307</v>
      </c>
      <c r="F464" t="inlineStr">
        <is>
          <t>KALMAR LÄN</t>
        </is>
      </c>
      <c r="G464" t="inlineStr">
        <is>
          <t>OSKARSHAMN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45604</v>
      </c>
      <c r="E465" s="1" t="n">
        <v>46307</v>
      </c>
      <c r="F465" t="inlineStr">
        <is>
          <t>KALMAR LÄN</t>
        </is>
      </c>
      <c r="G465" t="inlineStr">
        <is>
          <t>OSKARSHAMN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45968</v>
      </c>
      <c r="E466" s="1" t="n">
        <v>46307</v>
      </c>
      <c r="F466" t="inlineStr">
        <is>
          <t>KALMAR LÄN</t>
        </is>
      </c>
      <c r="G466" t="inlineStr">
        <is>
          <t>OSKARSHAMN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44963</v>
      </c>
      <c r="E467" s="1" t="n">
        <v>46307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46307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46307</v>
      </c>
      <c r="F469" t="inlineStr">
        <is>
          <t>KALMAR LÄN</t>
        </is>
      </c>
      <c r="G469" t="inlineStr">
        <is>
          <t>OSKARSHAMN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46307</v>
      </c>
      <c r="F470" t="inlineStr">
        <is>
          <t>KALMAR LÄN</t>
        </is>
      </c>
      <c r="G470" t="inlineStr">
        <is>
          <t>OSKARSHAMN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46307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44564</v>
      </c>
      <c r="E472" s="1" t="n">
        <v>46307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46307</v>
      </c>
      <c r="F473" t="inlineStr">
        <is>
          <t>KALMAR LÄN</t>
        </is>
      </c>
      <c r="G473" t="inlineStr">
        <is>
          <t>OSKARSHAMN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45007</v>
      </c>
      <c r="E474" s="1" t="n">
        <v>46307</v>
      </c>
      <c r="F474" t="inlineStr">
        <is>
          <t>KALMAR LÄN</t>
        </is>
      </c>
      <c r="G474" t="inlineStr">
        <is>
          <t>OSKARSHAMN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46307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45348</v>
      </c>
      <c r="E476" s="1" t="n">
        <v>46307</v>
      </c>
      <c r="F476" t="inlineStr">
        <is>
          <t>KALMAR LÄN</t>
        </is>
      </c>
      <c r="G476" t="inlineStr">
        <is>
          <t>OSKARSHAMN</t>
        </is>
      </c>
      <c r="H476" t="inlineStr">
        <is>
          <t>Sveaskog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57483-2021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44483</v>
      </c>
      <c r="E477" s="1" t="n">
        <v>46307</v>
      </c>
      <c r="F477" t="inlineStr">
        <is>
          <t>KALMAR LÄN</t>
        </is>
      </c>
      <c r="G477" t="inlineStr">
        <is>
          <t>OSKARSHAMN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46307</v>
      </c>
      <c r="F478" t="inlineStr">
        <is>
          <t>KALMAR LÄN</t>
        </is>
      </c>
      <c r="G478" t="inlineStr">
        <is>
          <t>OSKARSHAMN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44620</v>
      </c>
      <c r="E479" s="1" t="n">
        <v>46307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44978</v>
      </c>
      <c r="E480" s="1" t="n">
        <v>46307</v>
      </c>
      <c r="F480" t="inlineStr">
        <is>
          <t>KALMAR LÄN</t>
        </is>
      </c>
      <c r="G480" t="inlineStr">
        <is>
          <t>OSKARSHAMN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46307</v>
      </c>
      <c r="F481" t="inlineStr">
        <is>
          <t>KALMAR LÄN</t>
        </is>
      </c>
      <c r="G481" t="inlineStr">
        <is>
          <t>OSKARSHAMN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46307</v>
      </c>
      <c r="F482" t="inlineStr">
        <is>
          <t>KALMAR LÄN</t>
        </is>
      </c>
      <c r="G482" t="inlineStr">
        <is>
          <t>OSKARSHAMN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49841-2023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46307</v>
      </c>
      <c r="F483" t="inlineStr">
        <is>
          <t>KALMAR LÄN</t>
        </is>
      </c>
      <c r="G483" t="inlineStr">
        <is>
          <t>OSKARSHAMN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44951</v>
      </c>
      <c r="E484" s="1" t="n">
        <v>46307</v>
      </c>
      <c r="F484" t="inlineStr">
        <is>
          <t>KALMAR LÄN</t>
        </is>
      </c>
      <c r="G484" t="inlineStr">
        <is>
          <t>OSKARSHAMN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55569-2024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45621</v>
      </c>
      <c r="E485" s="1" t="n">
        <v>46307</v>
      </c>
      <c r="F485" t="inlineStr">
        <is>
          <t>KALMAR LÄN</t>
        </is>
      </c>
      <c r="G485" t="inlineStr">
        <is>
          <t>OSKARSHAMN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45240</v>
      </c>
      <c r="E486" s="1" t="n">
        <v>46307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20758-2026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46141</v>
      </c>
      <c r="E487" s="1" t="n">
        <v>46307</v>
      </c>
      <c r="F487" t="inlineStr">
        <is>
          <t>KALMAR LÄN</t>
        </is>
      </c>
      <c r="G487" t="inlineStr">
        <is>
          <t>OSKARSHAMN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46307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46307</v>
      </c>
      <c r="F489" t="inlineStr">
        <is>
          <t>KALMAR LÄN</t>
        </is>
      </c>
      <c r="G489" t="inlineStr">
        <is>
          <t>OSKARSHAMN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45022</v>
      </c>
      <c r="E490" s="1" t="n">
        <v>46307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45372</v>
      </c>
      <c r="E491" s="1" t="n">
        <v>46307</v>
      </c>
      <c r="F491" t="inlineStr">
        <is>
          <t>KALMAR LÄN</t>
        </is>
      </c>
      <c r="G491" t="inlineStr">
        <is>
          <t>OSKARSHAMN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4097-2024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45323</v>
      </c>
      <c r="E492" s="1" t="n">
        <v>46307</v>
      </c>
      <c r="F492" t="inlineStr">
        <is>
          <t>KALMAR LÄN</t>
        </is>
      </c>
      <c r="G492" t="inlineStr">
        <is>
          <t>OSKARSHAMN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46307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46307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46307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46307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62995-2025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46009</v>
      </c>
      <c r="E497" s="1" t="n">
        <v>46307</v>
      </c>
      <c r="F497" t="inlineStr">
        <is>
          <t>KALMAR LÄN</t>
        </is>
      </c>
      <c r="G497" t="inlineStr">
        <is>
          <t>OSKARSHAMN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46307</v>
      </c>
      <c r="F498" t="inlineStr">
        <is>
          <t>KALMAR LÄN</t>
        </is>
      </c>
      <c r="G498" t="inlineStr">
        <is>
          <t>OSKARSHAMN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46307</v>
      </c>
      <c r="F499" t="inlineStr">
        <is>
          <t>KALMAR LÄN</t>
        </is>
      </c>
      <c r="G499" t="inlineStr">
        <is>
          <t>OSKARSHAMN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46058</v>
      </c>
      <c r="E500" s="1" t="n">
        <v>46307</v>
      </c>
      <c r="F500" t="inlineStr">
        <is>
          <t>KALMAR LÄN</t>
        </is>
      </c>
      <c r="G500" t="inlineStr">
        <is>
          <t>OSKARSHAMN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46307</v>
      </c>
      <c r="F501" t="inlineStr">
        <is>
          <t>KALMAR LÄN</t>
        </is>
      </c>
      <c r="G501" t="inlineStr">
        <is>
          <t>OSKARSHAMN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46307</v>
      </c>
      <c r="F502" t="inlineStr">
        <is>
          <t>KALMAR LÄN</t>
        </is>
      </c>
      <c r="G502" t="inlineStr">
        <is>
          <t>OSKARSHAMN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46307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46307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46307</v>
      </c>
      <c r="F505" t="inlineStr">
        <is>
          <t>KALMAR LÄN</t>
        </is>
      </c>
      <c r="G505" t="inlineStr">
        <is>
          <t>OSKARSHAMN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46307</v>
      </c>
      <c r="F506" t="inlineStr">
        <is>
          <t>KALMAR LÄN</t>
        </is>
      </c>
      <c r="G506" t="inlineStr">
        <is>
          <t>OSKARSHAMN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46307</v>
      </c>
      <c r="F507" t="inlineStr">
        <is>
          <t>KALMAR LÄN</t>
        </is>
      </c>
      <c r="G507" t="inlineStr">
        <is>
          <t>OSKARSHAMN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46307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46307</v>
      </c>
      <c r="F509" t="inlineStr">
        <is>
          <t>KALMAR LÄN</t>
        </is>
      </c>
      <c r="G509" t="inlineStr">
        <is>
          <t>OSKARSHAMN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46307</v>
      </c>
      <c r="F510" t="inlineStr">
        <is>
          <t>KALMAR LÄN</t>
        </is>
      </c>
      <c r="G510" t="inlineStr">
        <is>
          <t>OSKARSHAMN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46307</v>
      </c>
      <c r="F511" t="inlineStr">
        <is>
          <t>KALMAR LÄN</t>
        </is>
      </c>
      <c r="G511" t="inlineStr">
        <is>
          <t>OSKARSHAMN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46307</v>
      </c>
      <c r="F512" t="inlineStr">
        <is>
          <t>KALMAR LÄN</t>
        </is>
      </c>
      <c r="G512" t="inlineStr">
        <is>
          <t>OSKARSHAMN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46307</v>
      </c>
      <c r="F513" t="inlineStr">
        <is>
          <t>KALMAR LÄN</t>
        </is>
      </c>
      <c r="G513" t="inlineStr">
        <is>
          <t>OSKARSHAMN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46307</v>
      </c>
      <c r="F514" t="inlineStr">
        <is>
          <t>KALMAR LÄN</t>
        </is>
      </c>
      <c r="G514" t="inlineStr">
        <is>
          <t>OSKARSHAMN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46307</v>
      </c>
      <c r="F515" t="inlineStr">
        <is>
          <t>KALMAR LÄN</t>
        </is>
      </c>
      <c r="G515" t="inlineStr">
        <is>
          <t>OSKARSHAMN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46307</v>
      </c>
      <c r="F516" t="inlineStr">
        <is>
          <t>KALMAR LÄN</t>
        </is>
      </c>
      <c r="G516" t="inlineStr">
        <is>
          <t>OSKARSHAMN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46307</v>
      </c>
      <c r="F517" t="inlineStr">
        <is>
          <t>KALMAR LÄN</t>
        </is>
      </c>
      <c r="G517" t="inlineStr">
        <is>
          <t>OSKARSHAMN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28487-2026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46307</v>
      </c>
      <c r="F518" t="inlineStr">
        <is>
          <t>KALMAR LÄN</t>
        </is>
      </c>
      <c r="G518" t="inlineStr">
        <is>
          <t>OSKARSHAMN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29619-2026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46199</v>
      </c>
      <c r="E519" s="1" t="n">
        <v>46307</v>
      </c>
      <c r="F519" t="inlineStr">
        <is>
          <t>KALMAR LÄN</t>
        </is>
      </c>
      <c r="G519" t="inlineStr">
        <is>
          <t>OSKARSHAMN</t>
        </is>
      </c>
      <c r="H519" t="inlineStr">
        <is>
          <t>Kommuner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46307</v>
      </c>
      <c r="F520" t="inlineStr">
        <is>
          <t>KALMAR LÄN</t>
        </is>
      </c>
      <c r="G520" t="inlineStr">
        <is>
          <t>OSKARSHAMN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46307</v>
      </c>
      <c r="F521" t="inlineStr">
        <is>
          <t>KALMAR LÄN</t>
        </is>
      </c>
      <c r="G521" t="inlineStr">
        <is>
          <t>OSKARSHAMN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46307</v>
      </c>
      <c r="F522" t="inlineStr">
        <is>
          <t>KALMAR LÄN</t>
        </is>
      </c>
      <c r="G522" t="inlineStr">
        <is>
          <t>OSKARSHAMN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46307</v>
      </c>
      <c r="F523" t="inlineStr">
        <is>
          <t>KALMAR LÄN</t>
        </is>
      </c>
      <c r="G523" t="inlineStr">
        <is>
          <t>OSKARSHAMN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46307</v>
      </c>
      <c r="F524" t="inlineStr">
        <is>
          <t>KALMAR LÄN</t>
        </is>
      </c>
      <c r="G524" t="inlineStr">
        <is>
          <t>OSKARSHAMN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46307</v>
      </c>
      <c r="F525" t="inlineStr">
        <is>
          <t>KALMAR LÄN</t>
        </is>
      </c>
      <c r="G525" t="inlineStr">
        <is>
          <t>OSKARSHAMN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46307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46307</v>
      </c>
      <c r="F527" t="inlineStr">
        <is>
          <t>KALMAR LÄN</t>
        </is>
      </c>
      <c r="G527" t="inlineStr">
        <is>
          <t>OSKARSHAMN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28813-2026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46307</v>
      </c>
      <c r="F528" t="inlineStr">
        <is>
          <t>KALMAR LÄN</t>
        </is>
      </c>
      <c r="G528" t="inlineStr">
        <is>
          <t>OSKARSHAMN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46307</v>
      </c>
      <c r="F529" t="inlineStr">
        <is>
          <t>KALMAR LÄN</t>
        </is>
      </c>
      <c r="G529" t="inlineStr">
        <is>
          <t>OSKARSHAMN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46307</v>
      </c>
      <c r="F530" t="inlineStr">
        <is>
          <t>KALMAR LÄN</t>
        </is>
      </c>
      <c r="G530" t="inlineStr">
        <is>
          <t>OSKARSHAMN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46307</v>
      </c>
      <c r="F531" t="inlineStr">
        <is>
          <t>KALMAR LÄN</t>
        </is>
      </c>
      <c r="G531" t="inlineStr">
        <is>
          <t>OSKARSHAMN</t>
        </is>
      </c>
      <c r="I531" t="n">
        <v>15.3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46307</v>
      </c>
      <c r="F532" t="inlineStr">
        <is>
          <t>KALMAR LÄN</t>
        </is>
      </c>
      <c r="G532" t="inlineStr">
        <is>
          <t>OSKARSHAMN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46211</v>
      </c>
      <c r="E533" s="1" t="n">
        <v>46307</v>
      </c>
      <c r="F533" t="inlineStr">
        <is>
          <t>KALMAR LÄN</t>
        </is>
      </c>
      <c r="G533" t="inlineStr">
        <is>
          <t>OSKARSHAMN</t>
        </is>
      </c>
      <c r="I533" t="n">
        <v>13.6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46307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46307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46307</v>
      </c>
      <c r="F536" t="inlineStr">
        <is>
          <t>KALMAR LÄN</t>
        </is>
      </c>
      <c r="G536" t="inlineStr">
        <is>
          <t>OSKARSHAMN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46307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46307</v>
      </c>
      <c r="F538" t="inlineStr">
        <is>
          <t>KALMAR LÄN</t>
        </is>
      </c>
      <c r="G538" t="inlineStr">
        <is>
          <t>OSKARSHAMN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46307</v>
      </c>
      <c r="F539" t="inlineStr">
        <is>
          <t>KALMAR LÄN</t>
        </is>
      </c>
      <c r="G539" t="inlineStr">
        <is>
          <t>OSKARSHAMN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46230</v>
      </c>
      <c r="E540" s="1" t="n">
        <v>46307</v>
      </c>
      <c r="F540" t="inlineStr">
        <is>
          <t>KALMAR LÄN</t>
        </is>
      </c>
      <c r="G540" t="inlineStr">
        <is>
          <t>OSKARSHAMN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46243</v>
      </c>
      <c r="E541" s="1" t="n">
        <v>46307</v>
      </c>
      <c r="F541" t="inlineStr">
        <is>
          <t>KALMAR LÄN</t>
        </is>
      </c>
      <c r="G541" t="inlineStr">
        <is>
          <t>OSKARSHAMN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46243</v>
      </c>
      <c r="E542" s="1" t="n">
        <v>46307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46307</v>
      </c>
      <c r="F543" t="inlineStr">
        <is>
          <t>KALMAR LÄN</t>
        </is>
      </c>
      <c r="G543" t="inlineStr">
        <is>
          <t>OSKARSHAMN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46307</v>
      </c>
      <c r="F544" t="inlineStr">
        <is>
          <t>KALMAR LÄN</t>
        </is>
      </c>
      <c r="G544" t="inlineStr">
        <is>
          <t>OSKARSHAMN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46307</v>
      </c>
      <c r="F545" t="inlineStr">
        <is>
          <t>KALMAR LÄN</t>
        </is>
      </c>
      <c r="G545" t="inlineStr">
        <is>
          <t>OSKARSHAMN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46307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28100-2026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46195</v>
      </c>
      <c r="E547" s="1" t="n">
        <v>46307</v>
      </c>
      <c r="F547" t="inlineStr">
        <is>
          <t>KALMAR LÄN</t>
        </is>
      </c>
      <c r="G547" t="inlineStr">
        <is>
          <t>OSKARSHAMN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46307</v>
      </c>
      <c r="F548" t="inlineStr">
        <is>
          <t>KALMAR LÄN</t>
        </is>
      </c>
      <c r="G548" t="inlineStr">
        <is>
          <t>OSKARSHAMN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46307</v>
      </c>
      <c r="F549" t="inlineStr">
        <is>
          <t>KALMAR LÄN</t>
        </is>
      </c>
      <c r="G549" t="inlineStr">
        <is>
          <t>OSKARSHAMN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46307</v>
      </c>
      <c r="F550" t="inlineStr">
        <is>
          <t>KALMAR LÄN</t>
        </is>
      </c>
      <c r="G550" t="inlineStr">
        <is>
          <t>OSKARSHAMN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46307</v>
      </c>
      <c r="F551" t="inlineStr">
        <is>
          <t>KALMAR LÄN</t>
        </is>
      </c>
      <c r="G551" t="inlineStr">
        <is>
          <t>OSKARSHAMN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18978-2026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46128</v>
      </c>
      <c r="E552" s="1" t="n">
        <v>46307</v>
      </c>
      <c r="F552" t="inlineStr">
        <is>
          <t>KALMAR LÄN</t>
        </is>
      </c>
      <c r="G552" t="inlineStr">
        <is>
          <t>OSKARSHAMN</t>
        </is>
      </c>
      <c r="H552" t="inlineStr">
        <is>
          <t>Kommuner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46252</v>
      </c>
      <c r="E553" s="1" t="n">
        <v>46307</v>
      </c>
      <c r="F553" t="inlineStr">
        <is>
          <t>KALMAR LÄN</t>
        </is>
      </c>
      <c r="G553" t="inlineStr">
        <is>
          <t>OSKARSHAMN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46307</v>
      </c>
      <c r="F554" t="inlineStr">
        <is>
          <t>KALMAR LÄN</t>
        </is>
      </c>
      <c r="G554" t="inlineStr">
        <is>
          <t>OSKARSHAMN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46295</v>
      </c>
      <c r="E555" s="1" t="n">
        <v>46307</v>
      </c>
      <c r="F555" t="inlineStr">
        <is>
          <t>KALMAR LÄN</t>
        </is>
      </c>
      <c r="G555" t="inlineStr">
        <is>
          <t>OSKARSHAMN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46210</v>
      </c>
      <c r="E556" s="1" t="n">
        <v>46307</v>
      </c>
      <c r="F556" t="inlineStr">
        <is>
          <t>KALMAR LÄN</t>
        </is>
      </c>
      <c r="G556" t="inlineStr">
        <is>
          <t>OSKARSHAMN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44711</v>
      </c>
      <c r="E557" s="1" t="n">
        <v>46307</v>
      </c>
      <c r="F557" t="inlineStr">
        <is>
          <t>KALMAR LÄN</t>
        </is>
      </c>
      <c r="G557" t="inlineStr">
        <is>
          <t>OSKARSHAMN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46307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2334-2022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44685</v>
      </c>
      <c r="E559" s="1" t="n">
        <v>46307</v>
      </c>
      <c r="F559" t="inlineStr">
        <is>
          <t>KALMAR LÄN</t>
        </is>
      </c>
      <c r="G559" t="inlineStr">
        <is>
          <t>OSKARSHAMN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651-2022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44594</v>
      </c>
      <c r="E560" s="1" t="n">
        <v>46307</v>
      </c>
      <c r="F560" t="inlineStr">
        <is>
          <t>KALMAR LÄN</t>
        </is>
      </c>
      <c r="G560" t="inlineStr">
        <is>
          <t>OSKARSHAMN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2026-2022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44665</v>
      </c>
      <c r="E561" s="1" t="n">
        <v>46307</v>
      </c>
      <c r="F561" t="inlineStr">
        <is>
          <t>KALMAR LÄN</t>
        </is>
      </c>
      <c r="G561" t="inlineStr">
        <is>
          <t>OSKARSHAMN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1437-2022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44634</v>
      </c>
      <c r="E562" s="1" t="n">
        <v>46307</v>
      </c>
      <c r="F562" t="inlineStr">
        <is>
          <t>KALMAR LÄN</t>
        </is>
      </c>
      <c r="G562" t="inlineStr">
        <is>
          <t>OSKARSHAMN</t>
        </is>
      </c>
      <c r="I562" t="n">
        <v>24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46307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46307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46307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46307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46307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46307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46307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3313-2023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45195</v>
      </c>
      <c r="E570" s="1" t="n">
        <v>46307</v>
      </c>
      <c r="F570" t="inlineStr">
        <is>
          <t>KALMAR LÄN</t>
        </is>
      </c>
      <c r="G570" t="inlineStr">
        <is>
          <t>OSKARSHAMN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821-2023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44988</v>
      </c>
      <c r="E571" s="1" t="n">
        <v>46307</v>
      </c>
      <c r="F571" t="inlineStr">
        <is>
          <t>KALMAR LÄN</t>
        </is>
      </c>
      <c r="G571" t="inlineStr">
        <is>
          <t>OSKARSHAMN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2566-2024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45476</v>
      </c>
      <c r="E572" s="1" t="n">
        <v>46307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46307</v>
      </c>
      <c r="F573" t="inlineStr">
        <is>
          <t>KALMAR LÄN</t>
        </is>
      </c>
      <c r="G573" t="inlineStr">
        <is>
          <t>OSKARSHAMN</t>
        </is>
      </c>
      <c r="I573" t="n">
        <v>37.5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46307</v>
      </c>
      <c r="F574" t="inlineStr">
        <is>
          <t>KALMAR LÄN</t>
        </is>
      </c>
      <c r="G574" t="inlineStr">
        <is>
          <t>OSKARSHAMN</t>
        </is>
      </c>
      <c r="I574" t="n">
        <v>47.2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45470</v>
      </c>
      <c r="E575" s="1" t="n">
        <v>46307</v>
      </c>
      <c r="F575" t="inlineStr">
        <is>
          <t>KALMAR LÄN</t>
        </is>
      </c>
      <c r="G575" t="inlineStr">
        <is>
          <t>OSKARSHAMN</t>
        </is>
      </c>
      <c r="I575" t="n">
        <v>34.4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712-2023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44979</v>
      </c>
      <c r="E576" s="1" t="n">
        <v>46307</v>
      </c>
      <c r="F576" t="inlineStr">
        <is>
          <t>KALMAR LÄN</t>
        </is>
      </c>
      <c r="G576" t="inlineStr">
        <is>
          <t>OSKARSHAMN</t>
        </is>
      </c>
      <c r="I576" t="n">
        <v>24.6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46307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46307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46307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46307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46307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2026-10-12T02:01:29Z</dcterms:created>
  <dcterms:modified xmlns:dcterms="http://purl.org/dc/terms/" xmlns:xsi="http://www.w3.org/2001/XMLSchema-instance" xsi:type="dcterms:W3CDTF">2026-10-12T02:01:30Z</dcterms:modified>
</cp:coreProperties>
</file>