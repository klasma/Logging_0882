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45638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45638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45638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45638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45638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45638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45638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45638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45638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45638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45638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45638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45638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45638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45638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45638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45638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45638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45638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45638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45638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45638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45638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45638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45638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45638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45638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45638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45638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45638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45638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45638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10069-2020</t>
        </is>
      </c>
      <c r="B34" s="1" t="n">
        <v>43883</v>
      </c>
      <c r="C34" s="1" t="n">
        <v>45638</v>
      </c>
      <c r="D34" t="inlineStr">
        <is>
          <t>KALMAR LÄN</t>
        </is>
      </c>
      <c r="E34" t="inlineStr">
        <is>
          <t>OSKARSHAMN</t>
        </is>
      </c>
      <c r="G34" t="n">
        <v>2.8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Backtimjan
Tallticka</t>
        </is>
      </c>
      <c r="S34">
        <f>HYPERLINK("https://klasma.github.io/Logging_0882/artfynd/A 10069-2020 artfynd.xlsx", "A 10069-2020")</f>
        <v/>
      </c>
      <c r="T34">
        <f>HYPERLINK("https://klasma.github.io/Logging_0882/kartor/A 10069-2020 karta.png", "A 10069-2020")</f>
        <v/>
      </c>
      <c r="U34">
        <f>HYPERLINK("https://klasma.github.io/Logging_0882/knärot/A 10069-2020 karta knärot.png", "A 10069-2020")</f>
        <v/>
      </c>
      <c r="V34">
        <f>HYPERLINK("https://klasma.github.io/Logging_0882/klagomål/A 10069-2020 FSC-klagomål.docx", "A 10069-2020")</f>
        <v/>
      </c>
      <c r="W34">
        <f>HYPERLINK("https://klasma.github.io/Logging_0882/klagomålsmail/A 10069-2020 FSC-klagomål mail.docx", "A 10069-2020")</f>
        <v/>
      </c>
      <c r="X34">
        <f>HYPERLINK("https://klasma.github.io/Logging_0882/tillsyn/A 10069-2020 tillsynsbegäran.docx", "A 10069-2020")</f>
        <v/>
      </c>
      <c r="Y34">
        <f>HYPERLINK("https://klasma.github.io/Logging_0882/tillsynsmail/A 10069-2020 tillsynsbegäran mail.docx", "A 10069-2020")</f>
        <v/>
      </c>
    </row>
    <row r="35" ht="15" customHeight="1">
      <c r="A35" t="inlineStr">
        <is>
          <t>A 73602-2021</t>
        </is>
      </c>
      <c r="B35" s="1" t="n">
        <v>44552</v>
      </c>
      <c r="C35" s="1" t="n">
        <v>45638</v>
      </c>
      <c r="D35" t="inlineStr">
        <is>
          <t>KALMAR LÄN</t>
        </is>
      </c>
      <c r="E35" t="inlineStr">
        <is>
          <t>OSKARSHAMN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Skogssvingel
Svedjenäva
Blåsippa</t>
        </is>
      </c>
      <c r="S35">
        <f>HYPERLINK("https://klasma.github.io/Logging_0882/artfynd/A 73602-2021 artfynd.xlsx", "A 73602-2021")</f>
        <v/>
      </c>
      <c r="T35">
        <f>HYPERLINK("https://klasma.github.io/Logging_0882/kartor/A 73602-2021 karta.png", "A 73602-2021")</f>
        <v/>
      </c>
      <c r="V35">
        <f>HYPERLINK("https://klasma.github.io/Logging_0882/klagomål/A 73602-2021 FSC-klagomål.docx", "A 73602-2021")</f>
        <v/>
      </c>
      <c r="W35">
        <f>HYPERLINK("https://klasma.github.io/Logging_0882/klagomålsmail/A 73602-2021 FSC-klagomål mail.docx", "A 73602-2021")</f>
        <v/>
      </c>
      <c r="X35">
        <f>HYPERLINK("https://klasma.github.io/Logging_0882/tillsyn/A 73602-2021 tillsynsbegäran.docx", "A 73602-2021")</f>
        <v/>
      </c>
      <c r="Y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s="1" t="n">
        <v>45012</v>
      </c>
      <c r="C36" s="1" t="n">
        <v>45638</v>
      </c>
      <c r="D36" t="inlineStr">
        <is>
          <t>KALMAR LÄN</t>
        </is>
      </c>
      <c r="E36" t="inlineStr">
        <is>
          <t>OSKARSHAMN</t>
        </is>
      </c>
      <c r="G36" t="n">
        <v>8.199999999999999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Klubbsprötad bastardsvärmare
Sotlav
Blåsippa</t>
        </is>
      </c>
      <c r="S36">
        <f>HYPERLINK("https://klasma.github.io/Logging_0882/artfynd/A 14463-2023 artfynd.xlsx", "A 14463-2023")</f>
        <v/>
      </c>
      <c r="T36">
        <f>HYPERLINK("https://klasma.github.io/Logging_0882/kartor/A 14463-2023 karta.png", "A 14463-2023")</f>
        <v/>
      </c>
      <c r="V36">
        <f>HYPERLINK("https://klasma.github.io/Logging_0882/klagomål/A 14463-2023 FSC-klagomål.docx", "A 14463-2023")</f>
        <v/>
      </c>
      <c r="W36">
        <f>HYPERLINK("https://klasma.github.io/Logging_0882/klagomålsmail/A 14463-2023 FSC-klagomål mail.docx", "A 14463-2023")</f>
        <v/>
      </c>
      <c r="X36">
        <f>HYPERLINK("https://klasma.github.io/Logging_0882/tillsyn/A 14463-2023 tillsynsbegäran.docx", "A 14463-2023")</f>
        <v/>
      </c>
      <c r="Y36">
        <f>HYPERLINK("https://klasma.github.io/Logging_0882/tillsynsmail/A 14463-2023 tillsynsbegäran mail.docx", "A 14463-2023")</f>
        <v/>
      </c>
    </row>
    <row r="37" ht="15" customHeight="1">
      <c r="A37" t="inlineStr">
        <is>
          <t>A 53597-2023</t>
        </is>
      </c>
      <c r="B37" s="1" t="n">
        <v>45230</v>
      </c>
      <c r="C37" s="1" t="n">
        <v>45638</v>
      </c>
      <c r="D37" t="inlineStr">
        <is>
          <t>KALMAR LÄN</t>
        </is>
      </c>
      <c r="E37" t="inlineStr">
        <is>
          <t>OSKARSHAMN</t>
        </is>
      </c>
      <c r="G37" t="n">
        <v>22.7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Blåmossa
Grönpyrola</t>
        </is>
      </c>
      <c r="S37">
        <f>HYPERLINK("https://klasma.github.io/Logging_0882/artfynd/A 53597-2023 artfynd.xlsx", "A 53597-2023")</f>
        <v/>
      </c>
      <c r="T37">
        <f>HYPERLINK("https://klasma.github.io/Logging_0882/kartor/A 53597-2023 karta.png", "A 53597-2023")</f>
        <v/>
      </c>
      <c r="V37">
        <f>HYPERLINK("https://klasma.github.io/Logging_0882/klagomål/A 53597-2023 FSC-klagomål.docx", "A 53597-2023")</f>
        <v/>
      </c>
      <c r="W37">
        <f>HYPERLINK("https://klasma.github.io/Logging_0882/klagomålsmail/A 53597-2023 FSC-klagomål mail.docx", "A 53597-2023")</f>
        <v/>
      </c>
      <c r="X37">
        <f>HYPERLINK("https://klasma.github.io/Logging_0882/tillsyn/A 53597-2023 tillsynsbegäran.docx", "A 53597-2023")</f>
        <v/>
      </c>
      <c r="Y37">
        <f>HYPERLINK("https://klasma.github.io/Logging_0882/tillsynsmail/A 53597-2023 tillsynsbegäran mail.docx", "A 53597-2023")</f>
        <v/>
      </c>
      <c r="Z37">
        <f>HYPERLINK("https://klasma.github.io/Logging_0882/fåglar/A 53597-2023 prioriterade fågelarter.docx", "A 53597-2023")</f>
        <v/>
      </c>
    </row>
    <row r="38" ht="15" customHeight="1">
      <c r="A38" t="inlineStr">
        <is>
          <t>A 62745-2020</t>
        </is>
      </c>
      <c r="B38" s="1" t="n">
        <v>44161</v>
      </c>
      <c r="C38" s="1" t="n">
        <v>45638</v>
      </c>
      <c r="D38" t="inlineStr">
        <is>
          <t>KALMAR LÄN</t>
        </is>
      </c>
      <c r="E38" t="inlineStr">
        <is>
          <t>OSKARSHAMN</t>
        </is>
      </c>
      <c r="G38" t="n">
        <v>3.3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Klubbsprötad bastardsvärmare</t>
        </is>
      </c>
      <c r="S38">
        <f>HYPERLINK("https://klasma.github.io/Logging_0882/artfynd/A 62745-2020 artfynd.xlsx", "A 62745-2020")</f>
        <v/>
      </c>
      <c r="T38">
        <f>HYPERLINK("https://klasma.github.io/Logging_0882/kartor/A 62745-2020 karta.png", "A 62745-2020")</f>
        <v/>
      </c>
      <c r="V38">
        <f>HYPERLINK("https://klasma.github.io/Logging_0882/klagomål/A 62745-2020 FSC-klagomål.docx", "A 62745-2020")</f>
        <v/>
      </c>
      <c r="W38">
        <f>HYPERLINK("https://klasma.github.io/Logging_0882/klagomålsmail/A 62745-2020 FSC-klagomål mail.docx", "A 62745-2020")</f>
        <v/>
      </c>
      <c r="X38">
        <f>HYPERLINK("https://klasma.github.io/Logging_0882/tillsyn/A 62745-2020 tillsynsbegäran.docx", "A 62745-2020")</f>
        <v/>
      </c>
      <c r="Y38">
        <f>HYPERLINK("https://klasma.github.io/Logging_0882/tillsynsmail/A 62745-2020 tillsynsbegäran mail.docx", "A 62745-2020")</f>
        <v/>
      </c>
      <c r="Z38">
        <f>HYPERLINK("https://klasma.github.io/Logging_0882/fåglar/A 62745-2020 prioriterade fågelarter.docx", "A 62745-2020")</f>
        <v/>
      </c>
    </row>
    <row r="39" ht="15" customHeight="1">
      <c r="A39" t="inlineStr">
        <is>
          <t>A 65169-2021</t>
        </is>
      </c>
      <c r="B39" s="1" t="n">
        <v>44515</v>
      </c>
      <c r="C39" s="1" t="n">
        <v>45638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Svart trolldruva</t>
        </is>
      </c>
      <c r="S39">
        <f>HYPERLINK("https://klasma.github.io/Logging_0882/artfynd/A 65169-2021 artfynd.xlsx", "A 65169-2021")</f>
        <v/>
      </c>
      <c r="T39">
        <f>HYPERLINK("https://klasma.github.io/Logging_0882/kartor/A 65169-2021 karta.png", "A 65169-2021")</f>
        <v/>
      </c>
      <c r="V39">
        <f>HYPERLINK("https://klasma.github.io/Logging_0882/klagomål/A 65169-2021 FSC-klagomål.docx", "A 65169-2021")</f>
        <v/>
      </c>
      <c r="W39">
        <f>HYPERLINK("https://klasma.github.io/Logging_0882/klagomålsmail/A 65169-2021 FSC-klagomål mail.docx", "A 65169-2021")</f>
        <v/>
      </c>
      <c r="X39">
        <f>HYPERLINK("https://klasma.github.io/Logging_0882/tillsyn/A 65169-2021 tillsynsbegäran.docx", "A 65169-2021")</f>
        <v/>
      </c>
      <c r="Y39">
        <f>HYPERLINK("https://klasma.github.io/Logging_0882/tillsynsmail/A 65169-2021 tillsynsbegäran mail.docx", "A 65169-2021")</f>
        <v/>
      </c>
    </row>
    <row r="40" ht="15" customHeight="1">
      <c r="A40" t="inlineStr">
        <is>
          <t>A 635-2022</t>
        </is>
      </c>
      <c r="B40" s="1" t="n">
        <v>44568</v>
      </c>
      <c r="C40" s="1" t="n">
        <v>45638</v>
      </c>
      <c r="D40" t="inlineStr">
        <is>
          <t>KALMAR LÄN</t>
        </is>
      </c>
      <c r="E40" t="inlineStr">
        <is>
          <t>OSKARSHAMN</t>
        </is>
      </c>
      <c r="G40" t="n">
        <v>6.2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Orange taggsvamp
Svart taggsvamp</t>
        </is>
      </c>
      <c r="S40">
        <f>HYPERLINK("https://klasma.github.io/Logging_0882/artfynd/A 635-2022 artfynd.xlsx", "A 635-2022")</f>
        <v/>
      </c>
      <c r="T40">
        <f>HYPERLINK("https://klasma.github.io/Logging_0882/kartor/A 635-2022 karta.png", "A 635-2022")</f>
        <v/>
      </c>
      <c r="V40">
        <f>HYPERLINK("https://klasma.github.io/Logging_0882/klagomål/A 635-2022 FSC-klagomål.docx", "A 635-2022")</f>
        <v/>
      </c>
      <c r="W40">
        <f>HYPERLINK("https://klasma.github.io/Logging_0882/klagomålsmail/A 635-2022 FSC-klagomål mail.docx", "A 635-2022")</f>
        <v/>
      </c>
      <c r="X40">
        <f>HYPERLINK("https://klasma.github.io/Logging_0882/tillsyn/A 635-2022 tillsynsbegäran.docx", "A 635-2022")</f>
        <v/>
      </c>
      <c r="Y40">
        <f>HYPERLINK("https://klasma.github.io/Logging_0882/tillsynsmail/A 635-2022 tillsynsbegäran mail.docx", "A 635-2022")</f>
        <v/>
      </c>
    </row>
    <row r="41" ht="15" customHeight="1">
      <c r="A41" t="inlineStr">
        <is>
          <t>A 5086-2022</t>
        </is>
      </c>
      <c r="B41" s="1" t="n">
        <v>44593</v>
      </c>
      <c r="C41" s="1" t="n">
        <v>45638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1.6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Kungsfågel</t>
        </is>
      </c>
      <c r="S41">
        <f>HYPERLINK("https://klasma.github.io/Logging_0882/artfynd/A 5086-2022 artfynd.xlsx", "A 5086-2022")</f>
        <v/>
      </c>
      <c r="T41">
        <f>HYPERLINK("https://klasma.github.io/Logging_0882/kartor/A 5086-2022 karta.png", "A 5086-2022")</f>
        <v/>
      </c>
      <c r="V41">
        <f>HYPERLINK("https://klasma.github.io/Logging_0882/klagomål/A 5086-2022 FSC-klagomål.docx", "A 5086-2022")</f>
        <v/>
      </c>
      <c r="W41">
        <f>HYPERLINK("https://klasma.github.io/Logging_0882/klagomålsmail/A 5086-2022 FSC-klagomål mail.docx", "A 5086-2022")</f>
        <v/>
      </c>
      <c r="X41">
        <f>HYPERLINK("https://klasma.github.io/Logging_0882/tillsyn/A 5086-2022 tillsynsbegäran.docx", "A 5086-2022")</f>
        <v/>
      </c>
      <c r="Y41">
        <f>HYPERLINK("https://klasma.github.io/Logging_0882/tillsynsmail/A 5086-2022 tillsynsbegäran mail.docx", "A 5086-2022")</f>
        <v/>
      </c>
      <c r="Z41">
        <f>HYPERLINK("https://klasma.github.io/Logging_0882/fåglar/A 5086-2022 prioriterade fågelarter.docx", "A 5086-2022")</f>
        <v/>
      </c>
    </row>
    <row r="42" ht="15" customHeight="1">
      <c r="A42" t="inlineStr">
        <is>
          <t>A 9518-2022</t>
        </is>
      </c>
      <c r="B42" s="1" t="n">
        <v>44616</v>
      </c>
      <c r="C42" s="1" t="n">
        <v>45638</v>
      </c>
      <c r="D42" t="inlineStr">
        <is>
          <t>KALMAR LÄN</t>
        </is>
      </c>
      <c r="E42" t="inlineStr">
        <is>
          <t>OSKARSHAMN</t>
        </is>
      </c>
      <c r="F42" t="inlineStr">
        <is>
          <t>Kyrkan</t>
        </is>
      </c>
      <c r="G42" t="n">
        <v>1.9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HYPERLINK("https://klasma.github.io/Logging_0882/artfynd/A 9518-2022 artfynd.xlsx", "A 9518-2022")</f>
        <v/>
      </c>
      <c r="T42">
        <f>HYPERLINK("https://klasma.github.io/Logging_0882/kartor/A 9518-2022 karta.png", "A 9518-2022")</f>
        <v/>
      </c>
      <c r="V42">
        <f>HYPERLINK("https://klasma.github.io/Logging_0882/klagomål/A 9518-2022 FSC-klagomål.docx", "A 9518-2022")</f>
        <v/>
      </c>
      <c r="W42">
        <f>HYPERLINK("https://klasma.github.io/Logging_0882/klagomålsmail/A 9518-2022 FSC-klagomål mail.docx", "A 9518-2022")</f>
        <v/>
      </c>
      <c r="X42">
        <f>HYPERLINK("https://klasma.github.io/Logging_0882/tillsyn/A 9518-2022 tillsynsbegäran.docx", "A 9518-2022")</f>
        <v/>
      </c>
      <c r="Y42">
        <f>HYPERLINK("https://klasma.github.io/Logging_0882/tillsynsmail/A 9518-2022 tillsynsbegäran mail.docx", "A 9518-2022")</f>
        <v/>
      </c>
    </row>
    <row r="43" ht="15" customHeight="1">
      <c r="A43" t="inlineStr">
        <is>
          <t>A 8729-2023</t>
        </is>
      </c>
      <c r="B43" s="1" t="n">
        <v>44978</v>
      </c>
      <c r="C43" s="1" t="n">
        <v>45638</v>
      </c>
      <c r="D43" t="inlineStr">
        <is>
          <t>KALMAR LÄN</t>
        </is>
      </c>
      <c r="E43" t="inlineStr">
        <is>
          <t>OSKARSHAMN</t>
        </is>
      </c>
      <c r="G43" t="n">
        <v>6.6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Talltita</t>
        </is>
      </c>
      <c r="S43">
        <f>HYPERLINK("https://klasma.github.io/Logging_0882/artfynd/A 8729-2023 artfynd.xlsx", "A 8729-2023")</f>
        <v/>
      </c>
      <c r="T43">
        <f>HYPERLINK("https://klasma.github.io/Logging_0882/kartor/A 8729-2023 karta.png", "A 8729-2023")</f>
        <v/>
      </c>
      <c r="V43">
        <f>HYPERLINK("https://klasma.github.io/Logging_0882/klagomål/A 8729-2023 FSC-klagomål.docx", "A 8729-2023")</f>
        <v/>
      </c>
      <c r="W43">
        <f>HYPERLINK("https://klasma.github.io/Logging_0882/klagomålsmail/A 8729-2023 FSC-klagomål mail.docx", "A 8729-2023")</f>
        <v/>
      </c>
      <c r="X43">
        <f>HYPERLINK("https://klasma.github.io/Logging_0882/tillsyn/A 8729-2023 tillsynsbegäran.docx", "A 8729-2023")</f>
        <v/>
      </c>
      <c r="Y43">
        <f>HYPERLINK("https://klasma.github.io/Logging_0882/tillsynsmail/A 8729-2023 tillsynsbegäran mail.docx", "A 8729-2023")</f>
        <v/>
      </c>
      <c r="Z43">
        <f>HYPERLINK("https://klasma.github.io/Logging_0882/fåglar/A 8729-2023 prioriterade fågelarter.docx", "A 8729-2023")</f>
        <v/>
      </c>
    </row>
    <row r="44" ht="15" customHeight="1">
      <c r="A44" t="inlineStr">
        <is>
          <t>A 30933-2023</t>
        </is>
      </c>
      <c r="B44" s="1" t="n">
        <v>45113</v>
      </c>
      <c r="C44" s="1" t="n">
        <v>45638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Mindre hackspett
Spillkråka</t>
        </is>
      </c>
      <c r="S44">
        <f>HYPERLINK("https://klasma.github.io/Logging_0882/artfynd/A 30933-2023 artfynd.xlsx", "A 30933-2023")</f>
        <v/>
      </c>
      <c r="T44">
        <f>HYPERLINK("https://klasma.github.io/Logging_0882/kartor/A 30933-2023 karta.png", "A 30933-2023")</f>
        <v/>
      </c>
      <c r="V44">
        <f>HYPERLINK("https://klasma.github.io/Logging_0882/klagomål/A 30933-2023 FSC-klagomål.docx", "A 30933-2023")</f>
        <v/>
      </c>
      <c r="W44">
        <f>HYPERLINK("https://klasma.github.io/Logging_0882/klagomålsmail/A 30933-2023 FSC-klagomål mail.docx", "A 30933-2023")</f>
        <v/>
      </c>
      <c r="X44">
        <f>HYPERLINK("https://klasma.github.io/Logging_0882/tillsyn/A 30933-2023 tillsynsbegäran.docx", "A 30933-2023")</f>
        <v/>
      </c>
      <c r="Y44">
        <f>HYPERLINK("https://klasma.github.io/Logging_0882/tillsynsmail/A 30933-2023 tillsynsbegäran mail.docx", "A 30933-2023")</f>
        <v/>
      </c>
      <c r="Z44">
        <f>HYPERLINK("https://klasma.github.io/Logging_0882/fåglar/A 30933-2023 prioriterade fågelarter.docx", "A 30933-2023")</f>
        <v/>
      </c>
    </row>
    <row r="45" ht="15" customHeight="1">
      <c r="A45" t="inlineStr">
        <is>
          <t>A 51078-2023</t>
        </is>
      </c>
      <c r="B45" s="1" t="n">
        <v>45218</v>
      </c>
      <c r="C45" s="1" t="n">
        <v>45638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Spillkråka</t>
        </is>
      </c>
      <c r="S45">
        <f>HYPERLINK("https://klasma.github.io/Logging_0882/artfynd/A 51078-2023 artfynd.xlsx", "A 51078-2023")</f>
        <v/>
      </c>
      <c r="T45">
        <f>HYPERLINK("https://klasma.github.io/Logging_0882/kartor/A 51078-2023 karta.png", "A 51078-2023")</f>
        <v/>
      </c>
      <c r="V45">
        <f>HYPERLINK("https://klasma.github.io/Logging_0882/klagomål/A 51078-2023 FSC-klagomål.docx", "A 51078-2023")</f>
        <v/>
      </c>
      <c r="W45">
        <f>HYPERLINK("https://klasma.github.io/Logging_0882/klagomålsmail/A 51078-2023 FSC-klagomål mail.docx", "A 51078-2023")</f>
        <v/>
      </c>
      <c r="X45">
        <f>HYPERLINK("https://klasma.github.io/Logging_0882/tillsyn/A 51078-2023 tillsynsbegäran.docx", "A 51078-2023")</f>
        <v/>
      </c>
      <c r="Y45">
        <f>HYPERLINK("https://klasma.github.io/Logging_0882/tillsynsmail/A 51078-2023 tillsynsbegäran mail.docx", "A 51078-2023")</f>
        <v/>
      </c>
      <c r="Z45">
        <f>HYPERLINK("https://klasma.github.io/Logging_0882/fåglar/A 51078-2023 prioriterade fågelarter.docx", "A 51078-2023")</f>
        <v/>
      </c>
    </row>
    <row r="46" ht="15" customHeight="1">
      <c r="A46" t="inlineStr">
        <is>
          <t>A 51912-2023</t>
        </is>
      </c>
      <c r="B46" s="1" t="n">
        <v>45223</v>
      </c>
      <c r="C46" s="1" t="n">
        <v>45638</v>
      </c>
      <c r="D46" t="inlineStr">
        <is>
          <t>KALMAR LÄN</t>
        </is>
      </c>
      <c r="E46" t="inlineStr">
        <is>
          <t>OSKARSHAMN</t>
        </is>
      </c>
      <c r="G46" t="n">
        <v>3.7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Vågticka
Kandelabersvamp</t>
        </is>
      </c>
      <c r="S46">
        <f>HYPERLINK("https://klasma.github.io/Logging_0882/artfynd/A 51912-2023 artfynd.xlsx", "A 51912-2023")</f>
        <v/>
      </c>
      <c r="T46">
        <f>HYPERLINK("https://klasma.github.io/Logging_0882/kartor/A 51912-2023 karta.png", "A 51912-2023")</f>
        <v/>
      </c>
      <c r="V46">
        <f>HYPERLINK("https://klasma.github.io/Logging_0882/klagomål/A 51912-2023 FSC-klagomål.docx", "A 51912-2023")</f>
        <v/>
      </c>
      <c r="W46">
        <f>HYPERLINK("https://klasma.github.io/Logging_0882/klagomålsmail/A 51912-2023 FSC-klagomål mail.docx", "A 51912-2023")</f>
        <v/>
      </c>
      <c r="X46">
        <f>HYPERLINK("https://klasma.github.io/Logging_0882/tillsyn/A 51912-2023 tillsynsbegäran.docx", "A 51912-2023")</f>
        <v/>
      </c>
      <c r="Y46">
        <f>HYPERLINK("https://klasma.github.io/Logging_0882/tillsynsmail/A 51912-2023 tillsynsbegäran mail.docx", "A 51912-2023")</f>
        <v/>
      </c>
    </row>
    <row r="47" ht="15" customHeight="1">
      <c r="A47" t="inlineStr">
        <is>
          <t>A 22297-2024</t>
        </is>
      </c>
      <c r="B47" s="1" t="n">
        <v>45446</v>
      </c>
      <c r="C47" s="1" t="n">
        <v>45638</v>
      </c>
      <c r="D47" t="inlineStr">
        <is>
          <t>KALMAR LÄN</t>
        </is>
      </c>
      <c r="E47" t="inlineStr">
        <is>
          <t>OSKARSHAMN</t>
        </is>
      </c>
      <c r="G47" t="n">
        <v>3.4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Ekticka
Blomskägglav</t>
        </is>
      </c>
      <c r="S47">
        <f>HYPERLINK("https://klasma.github.io/Logging_0882/artfynd/A 22297-2024 artfynd.xlsx", "A 22297-2024")</f>
        <v/>
      </c>
      <c r="T47">
        <f>HYPERLINK("https://klasma.github.io/Logging_0882/kartor/A 22297-2024 karta.png", "A 22297-2024")</f>
        <v/>
      </c>
      <c r="V47">
        <f>HYPERLINK("https://klasma.github.io/Logging_0882/klagomål/A 22297-2024 FSC-klagomål.docx", "A 22297-2024")</f>
        <v/>
      </c>
      <c r="W47">
        <f>HYPERLINK("https://klasma.github.io/Logging_0882/klagomålsmail/A 22297-2024 FSC-klagomål mail.docx", "A 22297-2024")</f>
        <v/>
      </c>
      <c r="X47">
        <f>HYPERLINK("https://klasma.github.io/Logging_0882/tillsyn/A 22297-2024 tillsynsbegäran.docx", "A 22297-2024")</f>
        <v/>
      </c>
      <c r="Y47">
        <f>HYPERLINK("https://klasma.github.io/Logging_0882/tillsynsmail/A 22297-2024 tillsynsbegäran mail.docx", "A 22297-2024")</f>
        <v/>
      </c>
    </row>
    <row r="48" ht="15" customHeight="1">
      <c r="A48" t="inlineStr">
        <is>
          <t>A 43442-2024</t>
        </is>
      </c>
      <c r="B48" s="1" t="n">
        <v>45568</v>
      </c>
      <c r="C48" s="1" t="n">
        <v>45638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1.7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Vanlig flatbagge</t>
        </is>
      </c>
      <c r="S48">
        <f>HYPERLINK("https://klasma.github.io/Logging_0882/artfynd/A 43442-2024 artfynd.xlsx", "A 43442-2024")</f>
        <v/>
      </c>
      <c r="T48">
        <f>HYPERLINK("https://klasma.github.io/Logging_0882/kartor/A 43442-2024 karta.png", "A 43442-2024")</f>
        <v/>
      </c>
      <c r="V48">
        <f>HYPERLINK("https://klasma.github.io/Logging_0882/klagomål/A 43442-2024 FSC-klagomål.docx", "A 43442-2024")</f>
        <v/>
      </c>
      <c r="W48">
        <f>HYPERLINK("https://klasma.github.io/Logging_0882/klagomålsmail/A 43442-2024 FSC-klagomål mail.docx", "A 43442-2024")</f>
        <v/>
      </c>
      <c r="X48">
        <f>HYPERLINK("https://klasma.github.io/Logging_0882/tillsyn/A 43442-2024 tillsynsbegäran.docx", "A 43442-2024")</f>
        <v/>
      </c>
      <c r="Y48">
        <f>HYPERLINK("https://klasma.github.io/Logging_0882/tillsynsmail/A 43442-2024 tillsynsbegäran mail.docx", "A 43442-2024")</f>
        <v/>
      </c>
    </row>
    <row r="49" ht="15" customHeight="1">
      <c r="A49" t="inlineStr">
        <is>
          <t>A 54036-2024</t>
        </is>
      </c>
      <c r="B49" s="1" t="n">
        <v>45616</v>
      </c>
      <c r="C49" s="1" t="n">
        <v>45638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1.5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Havsörn
Guldlockmossa</t>
        </is>
      </c>
      <c r="S49">
        <f>HYPERLINK("https://klasma.github.io/Logging_0882/artfynd/A 54036-2024 artfynd.xlsx", "A 54036-2024")</f>
        <v/>
      </c>
      <c r="T49">
        <f>HYPERLINK("https://klasma.github.io/Logging_0882/kartor/A 54036-2024 karta.png", "A 54036-2024")</f>
        <v/>
      </c>
      <c r="V49">
        <f>HYPERLINK("https://klasma.github.io/Logging_0882/klagomål/A 54036-2024 FSC-klagomål.docx", "A 54036-2024")</f>
        <v/>
      </c>
      <c r="W49">
        <f>HYPERLINK("https://klasma.github.io/Logging_0882/klagomålsmail/A 54036-2024 FSC-klagomål mail.docx", "A 54036-2024")</f>
        <v/>
      </c>
      <c r="X49">
        <f>HYPERLINK("https://klasma.github.io/Logging_0882/tillsyn/A 54036-2024 tillsynsbegäran.docx", "A 54036-2024")</f>
        <v/>
      </c>
      <c r="Y49">
        <f>HYPERLINK("https://klasma.github.io/Logging_0882/tillsynsmail/A 54036-2024 tillsynsbegäran mail.docx", "A 54036-2024")</f>
        <v/>
      </c>
      <c r="Z49">
        <f>HYPERLINK("https://klasma.github.io/Logging_0882/fåglar/A 54036-2024 prioriterade fågelarter.docx", "A 54036-2024")</f>
        <v/>
      </c>
    </row>
    <row r="50" ht="15" customHeight="1">
      <c r="A50" t="inlineStr">
        <is>
          <t>A 34678-2019</t>
        </is>
      </c>
      <c r="B50" s="1" t="n">
        <v>43657</v>
      </c>
      <c r="C50" s="1" t="n">
        <v>45638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HYPERLINK("https://klasma.github.io/Logging_0882/artfynd/A 34678-2019 artfynd.xlsx", "A 34678-2019")</f>
        <v/>
      </c>
      <c r="T50">
        <f>HYPERLINK("https://klasma.github.io/Logging_0882/kartor/A 34678-2019 karta.png", "A 34678-2019")</f>
        <v/>
      </c>
      <c r="V50">
        <f>HYPERLINK("https://klasma.github.io/Logging_0882/klagomål/A 34678-2019 FSC-klagomål.docx", "A 34678-2019")</f>
        <v/>
      </c>
      <c r="W50">
        <f>HYPERLINK("https://klasma.github.io/Logging_0882/klagomålsmail/A 34678-2019 FSC-klagomål mail.docx", "A 34678-2019")</f>
        <v/>
      </c>
      <c r="X50">
        <f>HYPERLINK("https://klasma.github.io/Logging_0882/tillsyn/A 34678-2019 tillsynsbegäran.docx", "A 34678-2019")</f>
        <v/>
      </c>
      <c r="Y50">
        <f>HYPERLINK("https://klasma.github.io/Logging_0882/tillsynsmail/A 34678-2019 tillsynsbegäran mail.docx", "A 34678-2019")</f>
        <v/>
      </c>
    </row>
    <row r="51" ht="15" customHeight="1">
      <c r="A51" t="inlineStr">
        <is>
          <t>A 36540-2019</t>
        </is>
      </c>
      <c r="B51" s="1" t="n">
        <v>43671</v>
      </c>
      <c r="C51" s="1" t="n">
        <v>45638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HYPERLINK("https://klasma.github.io/Logging_0882/artfynd/A 36540-2019 artfynd.xlsx", "A 36540-2019")</f>
        <v/>
      </c>
      <c r="T51">
        <f>HYPERLINK("https://klasma.github.io/Logging_0882/kartor/A 36540-2019 karta.png", "A 36540-2019")</f>
        <v/>
      </c>
      <c r="V51">
        <f>HYPERLINK("https://klasma.github.io/Logging_0882/klagomål/A 36540-2019 FSC-klagomål.docx", "A 36540-2019")</f>
        <v/>
      </c>
      <c r="W51">
        <f>HYPERLINK("https://klasma.github.io/Logging_0882/klagomålsmail/A 36540-2019 FSC-klagomål mail.docx", "A 36540-2019")</f>
        <v/>
      </c>
      <c r="X51">
        <f>HYPERLINK("https://klasma.github.io/Logging_0882/tillsyn/A 36540-2019 tillsynsbegäran.docx", "A 36540-2019")</f>
        <v/>
      </c>
      <c r="Y51">
        <f>HYPERLINK("https://klasma.github.io/Logging_0882/tillsynsmail/A 36540-2019 tillsynsbegäran mail.docx", "A 36540-2019")</f>
        <v/>
      </c>
    </row>
    <row r="52" ht="15" customHeight="1">
      <c r="A52" t="inlineStr">
        <is>
          <t>A 36542-2019</t>
        </is>
      </c>
      <c r="B52" s="1" t="n">
        <v>43671</v>
      </c>
      <c r="C52" s="1" t="n">
        <v>45638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HYPERLINK("https://klasma.github.io/Logging_0882/artfynd/A 36542-2019 artfynd.xlsx", "A 36542-2019")</f>
        <v/>
      </c>
      <c r="T52">
        <f>HYPERLINK("https://klasma.github.io/Logging_0882/kartor/A 36542-2019 karta.png", "A 36542-2019")</f>
        <v/>
      </c>
      <c r="V52">
        <f>HYPERLINK("https://klasma.github.io/Logging_0882/klagomål/A 36542-2019 FSC-klagomål.docx", "A 36542-2019")</f>
        <v/>
      </c>
      <c r="W52">
        <f>HYPERLINK("https://klasma.github.io/Logging_0882/klagomålsmail/A 36542-2019 FSC-klagomål mail.docx", "A 36542-2019")</f>
        <v/>
      </c>
      <c r="X52">
        <f>HYPERLINK("https://klasma.github.io/Logging_0882/tillsyn/A 36542-2019 tillsynsbegäran.docx", "A 36542-2019")</f>
        <v/>
      </c>
      <c r="Y52">
        <f>HYPERLINK("https://klasma.github.io/Logging_0882/tillsynsmail/A 36542-2019 tillsynsbegäran mail.docx", "A 36542-2019")</f>
        <v/>
      </c>
    </row>
    <row r="53" ht="15" customHeight="1">
      <c r="A53" t="inlineStr">
        <is>
          <t>A 38830-2020</t>
        </is>
      </c>
      <c r="B53" s="1" t="n">
        <v>44062</v>
      </c>
      <c r="C53" s="1" t="n">
        <v>45638</v>
      </c>
      <c r="D53" t="inlineStr">
        <is>
          <t>KALMAR LÄN</t>
        </is>
      </c>
      <c r="E53" t="inlineStr">
        <is>
          <t>OSKARSHAMN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Blek kraterlav</t>
        </is>
      </c>
      <c r="S53">
        <f>HYPERLINK("https://klasma.github.io/Logging_0882/artfynd/A 38830-2020 artfynd.xlsx", "A 38830-2020")</f>
        <v/>
      </c>
      <c r="T53">
        <f>HYPERLINK("https://klasma.github.io/Logging_0882/kartor/A 38830-2020 karta.png", "A 38830-2020")</f>
        <v/>
      </c>
      <c r="V53">
        <f>HYPERLINK("https://klasma.github.io/Logging_0882/klagomål/A 38830-2020 FSC-klagomål.docx", "A 38830-2020")</f>
        <v/>
      </c>
      <c r="W53">
        <f>HYPERLINK("https://klasma.github.io/Logging_0882/klagomålsmail/A 38830-2020 FSC-klagomål mail.docx", "A 38830-2020")</f>
        <v/>
      </c>
      <c r="X53">
        <f>HYPERLINK("https://klasma.github.io/Logging_0882/tillsyn/A 38830-2020 tillsynsbegäran.docx", "A 38830-2020")</f>
        <v/>
      </c>
      <c r="Y53">
        <f>HYPERLINK("https://klasma.github.io/Logging_0882/tillsynsmail/A 38830-2020 tillsynsbegäran mail.docx", "A 38830-2020")</f>
        <v/>
      </c>
    </row>
    <row r="54" ht="15" customHeight="1">
      <c r="A54" t="inlineStr">
        <is>
          <t>A 42248-2020</t>
        </is>
      </c>
      <c r="B54" s="1" t="n">
        <v>44076</v>
      </c>
      <c r="C54" s="1" t="n">
        <v>45638</v>
      </c>
      <c r="D54" t="inlineStr">
        <is>
          <t>KALMAR LÄN</t>
        </is>
      </c>
      <c r="E54" t="inlineStr">
        <is>
          <t>OSKARSHAMN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42248-2020 artfynd.xlsx", "A 42248-2020")</f>
        <v/>
      </c>
      <c r="T54">
        <f>HYPERLINK("https://klasma.github.io/Logging_0882/kartor/A 42248-2020 karta.png", "A 42248-2020")</f>
        <v/>
      </c>
      <c r="V54">
        <f>HYPERLINK("https://klasma.github.io/Logging_0882/klagomål/A 42248-2020 FSC-klagomål.docx", "A 42248-2020")</f>
        <v/>
      </c>
      <c r="W54">
        <f>HYPERLINK("https://klasma.github.io/Logging_0882/klagomålsmail/A 42248-2020 FSC-klagomål mail.docx", "A 42248-2020")</f>
        <v/>
      </c>
      <c r="X54">
        <f>HYPERLINK("https://klasma.github.io/Logging_0882/tillsyn/A 42248-2020 tillsynsbegäran.docx", "A 42248-2020")</f>
        <v/>
      </c>
      <c r="Y54">
        <f>HYPERLINK("https://klasma.github.io/Logging_0882/tillsynsmail/A 42248-2020 tillsynsbegäran mail.docx", "A 42248-2020")</f>
        <v/>
      </c>
    </row>
    <row r="55" ht="15" customHeight="1">
      <c r="A55" t="inlineStr">
        <is>
          <t>A 67334-2020</t>
        </is>
      </c>
      <c r="B55" s="1" t="n">
        <v>44181</v>
      </c>
      <c r="C55" s="1" t="n">
        <v>45638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HYPERLINK("https://klasma.github.io/Logging_0882/artfynd/A 67334-2020 artfynd.xlsx", "A 67334-2020")</f>
        <v/>
      </c>
      <c r="T55">
        <f>HYPERLINK("https://klasma.github.io/Logging_0882/kartor/A 67334-2020 karta.png", "A 67334-2020")</f>
        <v/>
      </c>
      <c r="V55">
        <f>HYPERLINK("https://klasma.github.io/Logging_0882/klagomål/A 67334-2020 FSC-klagomål.docx", "A 67334-2020")</f>
        <v/>
      </c>
      <c r="W55">
        <f>HYPERLINK("https://klasma.github.io/Logging_0882/klagomålsmail/A 67334-2020 FSC-klagomål mail.docx", "A 67334-2020")</f>
        <v/>
      </c>
      <c r="X55">
        <f>HYPERLINK("https://klasma.github.io/Logging_0882/tillsyn/A 67334-2020 tillsynsbegäran.docx", "A 67334-2020")</f>
        <v/>
      </c>
      <c r="Y55">
        <f>HYPERLINK("https://klasma.github.io/Logging_0882/tillsynsmail/A 67334-2020 tillsynsbegäran mail.docx", "A 67334-2020")</f>
        <v/>
      </c>
      <c r="Z55">
        <f>HYPERLINK("https://klasma.github.io/Logging_0882/fåglar/A 67334-2020 prioriterade fågelarter.docx", "A 67334-2020")</f>
        <v/>
      </c>
    </row>
    <row r="56" ht="15" customHeight="1">
      <c r="A56" t="inlineStr">
        <is>
          <t>A 12329-2021</t>
        </is>
      </c>
      <c r="B56" s="1" t="n">
        <v>44267</v>
      </c>
      <c r="C56" s="1" t="n">
        <v>45638</v>
      </c>
      <c r="D56" t="inlineStr">
        <is>
          <t>KALMAR LÄN</t>
        </is>
      </c>
      <c r="E56" t="inlineStr">
        <is>
          <t>OSKARSHAMN</t>
        </is>
      </c>
      <c r="G56" t="n">
        <v>16.6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HYPERLINK("https://klasma.github.io/Logging_0882/artfynd/A 12329-2021 artfynd.xlsx", "A 12329-2021")</f>
        <v/>
      </c>
      <c r="T56">
        <f>HYPERLINK("https://klasma.github.io/Logging_0882/kartor/A 12329-2021 karta.png", "A 12329-2021")</f>
        <v/>
      </c>
      <c r="V56">
        <f>HYPERLINK("https://klasma.github.io/Logging_0882/klagomål/A 12329-2021 FSC-klagomål.docx", "A 12329-2021")</f>
        <v/>
      </c>
      <c r="W56">
        <f>HYPERLINK("https://klasma.github.io/Logging_0882/klagomålsmail/A 12329-2021 FSC-klagomål mail.docx", "A 12329-2021")</f>
        <v/>
      </c>
      <c r="X56">
        <f>HYPERLINK("https://klasma.github.io/Logging_0882/tillsyn/A 12329-2021 tillsynsbegäran.docx", "A 12329-2021")</f>
        <v/>
      </c>
      <c r="Y56">
        <f>HYPERLINK("https://klasma.github.io/Logging_0882/tillsynsmail/A 12329-2021 tillsynsbegäran mail.docx", "A 12329-2021")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45638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25677-2021</t>
        </is>
      </c>
      <c r="B58" s="1" t="n">
        <v>44343</v>
      </c>
      <c r="C58" s="1" t="n">
        <v>45638</v>
      </c>
      <c r="D58" t="inlineStr">
        <is>
          <t>KALMAR LÄN</t>
        </is>
      </c>
      <c r="E58" t="inlineStr">
        <is>
          <t>OSKARSHAMN</t>
        </is>
      </c>
      <c r="G58" t="n">
        <v>7.5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HYPERLINK("https://klasma.github.io/Logging_0882/artfynd/A 25677-2021 artfynd.xlsx", "A 25677-2021")</f>
        <v/>
      </c>
      <c r="T58">
        <f>HYPERLINK("https://klasma.github.io/Logging_0882/kartor/A 25677-2021 karta.png", "A 25677-2021")</f>
        <v/>
      </c>
      <c r="V58">
        <f>HYPERLINK("https://klasma.github.io/Logging_0882/klagomål/A 25677-2021 FSC-klagomål.docx", "A 25677-2021")</f>
        <v/>
      </c>
      <c r="W58">
        <f>HYPERLINK("https://klasma.github.io/Logging_0882/klagomålsmail/A 25677-2021 FSC-klagomål mail.docx", "A 25677-2021")</f>
        <v/>
      </c>
      <c r="X58">
        <f>HYPERLINK("https://klasma.github.io/Logging_0882/tillsyn/A 25677-2021 tillsynsbegäran.docx", "A 25677-2021")</f>
        <v/>
      </c>
      <c r="Y58">
        <f>HYPERLINK("https://klasma.github.io/Logging_0882/tillsynsmail/A 25677-2021 tillsynsbegäran mail.docx", "A 25677-2021")</f>
        <v/>
      </c>
      <c r="Z58">
        <f>HYPERLINK("https://klasma.github.io/Logging_0882/fåglar/A 25677-2021 prioriterade fågelarter.docx", "A 25677-2021")</f>
        <v/>
      </c>
    </row>
    <row r="59" ht="15" customHeight="1">
      <c r="A59" t="inlineStr">
        <is>
          <t>A 28299-2021</t>
        </is>
      </c>
      <c r="B59" s="1" t="n">
        <v>44356</v>
      </c>
      <c r="C59" s="1" t="n">
        <v>45638</v>
      </c>
      <c r="D59" t="inlineStr">
        <is>
          <t>KALMAR LÄN</t>
        </is>
      </c>
      <c r="E59" t="inlineStr">
        <is>
          <t>OSKARSHAMN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HYPERLINK("https://klasma.github.io/Logging_0882/artfynd/A 28299-2021 artfynd.xlsx", "A 28299-2021")</f>
        <v/>
      </c>
      <c r="T59">
        <f>HYPERLINK("https://klasma.github.io/Logging_0882/kartor/A 28299-2021 karta.png", "A 28299-2021")</f>
        <v/>
      </c>
      <c r="V59">
        <f>HYPERLINK("https://klasma.github.io/Logging_0882/klagomål/A 28299-2021 FSC-klagomål.docx", "A 28299-2021")</f>
        <v/>
      </c>
      <c r="W59">
        <f>HYPERLINK("https://klasma.github.io/Logging_0882/klagomålsmail/A 28299-2021 FSC-klagomål mail.docx", "A 28299-2021")</f>
        <v/>
      </c>
      <c r="X59">
        <f>HYPERLINK("https://klasma.github.io/Logging_0882/tillsyn/A 28299-2021 tillsynsbegäran.docx", "A 28299-2021")</f>
        <v/>
      </c>
      <c r="Y59">
        <f>HYPERLINK("https://klasma.github.io/Logging_0882/tillsynsmail/A 28299-2021 tillsynsbegäran mail.docx", "A 28299-2021")</f>
        <v/>
      </c>
      <c r="Z59">
        <f>HYPERLINK("https://klasma.github.io/Logging_0882/fåglar/A 28299-2021 prioriterade fågelarter.docx", "A 28299-2021")</f>
        <v/>
      </c>
    </row>
    <row r="60" ht="15" customHeight="1">
      <c r="A60" t="inlineStr">
        <is>
          <t>A 28298-2021</t>
        </is>
      </c>
      <c r="B60" s="1" t="n">
        <v>44356</v>
      </c>
      <c r="C60" s="1" t="n">
        <v>45638</v>
      </c>
      <c r="D60" t="inlineStr">
        <is>
          <t>KALMAR LÄN</t>
        </is>
      </c>
      <c r="E60" t="inlineStr">
        <is>
          <t>OSKARSHAMN</t>
        </is>
      </c>
      <c r="G60" t="n">
        <v>6.3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HYPERLINK("https://klasma.github.io/Logging_0882/artfynd/A 28298-2021 artfynd.xlsx", "A 28298-2021")</f>
        <v/>
      </c>
      <c r="T60">
        <f>HYPERLINK("https://klasma.github.io/Logging_0882/kartor/A 28298-2021 karta.png", "A 28298-2021")</f>
        <v/>
      </c>
      <c r="V60">
        <f>HYPERLINK("https://klasma.github.io/Logging_0882/klagomål/A 28298-2021 FSC-klagomål.docx", "A 28298-2021")</f>
        <v/>
      </c>
      <c r="W60">
        <f>HYPERLINK("https://klasma.github.io/Logging_0882/klagomålsmail/A 28298-2021 FSC-klagomål mail.docx", "A 28298-2021")</f>
        <v/>
      </c>
      <c r="X60">
        <f>HYPERLINK("https://klasma.github.io/Logging_0882/tillsyn/A 28298-2021 tillsynsbegäran.docx", "A 28298-2021")</f>
        <v/>
      </c>
      <c r="Y60">
        <f>HYPERLINK("https://klasma.github.io/Logging_0882/tillsynsmail/A 28298-2021 tillsynsbegäran mail.docx", "A 28298-2021")</f>
        <v/>
      </c>
    </row>
    <row r="61" ht="15" customHeight="1">
      <c r="A61" t="inlineStr">
        <is>
          <t>A 33837-2021</t>
        </is>
      </c>
      <c r="B61" s="1" t="n">
        <v>44378</v>
      </c>
      <c r="C61" s="1" t="n">
        <v>45638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HYPERLINK("https://klasma.github.io/Logging_0882/artfynd/A 33837-2021 artfynd.xlsx", "A 33837-2021")</f>
        <v/>
      </c>
      <c r="T61">
        <f>HYPERLINK("https://klasma.github.io/Logging_0882/kartor/A 33837-2021 karta.png", "A 33837-2021")</f>
        <v/>
      </c>
      <c r="V61">
        <f>HYPERLINK("https://klasma.github.io/Logging_0882/klagomål/A 33837-2021 FSC-klagomål.docx", "A 33837-2021")</f>
        <v/>
      </c>
      <c r="W61">
        <f>HYPERLINK("https://klasma.github.io/Logging_0882/klagomålsmail/A 33837-2021 FSC-klagomål mail.docx", "A 33837-2021")</f>
        <v/>
      </c>
      <c r="X61">
        <f>HYPERLINK("https://klasma.github.io/Logging_0882/tillsyn/A 33837-2021 tillsynsbegäran.docx", "A 33837-2021")</f>
        <v/>
      </c>
      <c r="Y61">
        <f>HYPERLINK("https://klasma.github.io/Logging_0882/tillsynsmail/A 33837-2021 tillsynsbegäran mail.docx", "A 33837-2021")</f>
        <v/>
      </c>
    </row>
    <row r="62" ht="15" customHeight="1">
      <c r="A62" t="inlineStr">
        <is>
          <t>A 38317-2021</t>
        </is>
      </c>
      <c r="B62" s="1" t="n">
        <v>44406</v>
      </c>
      <c r="C62" s="1" t="n">
        <v>45638</v>
      </c>
      <c r="D62" t="inlineStr">
        <is>
          <t>KALMAR LÄN</t>
        </is>
      </c>
      <c r="E62" t="inlineStr">
        <is>
          <t>OSKARSHAMN</t>
        </is>
      </c>
      <c r="G62" t="n">
        <v>14.4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38317-2021 artfynd.xlsx", "A 38317-2021")</f>
        <v/>
      </c>
      <c r="T62">
        <f>HYPERLINK("https://klasma.github.io/Logging_0882/kartor/A 38317-2021 karta.png", "A 38317-2021")</f>
        <v/>
      </c>
      <c r="V62">
        <f>HYPERLINK("https://klasma.github.io/Logging_0882/klagomål/A 38317-2021 FSC-klagomål.docx", "A 38317-2021")</f>
        <v/>
      </c>
      <c r="W62">
        <f>HYPERLINK("https://klasma.github.io/Logging_0882/klagomålsmail/A 38317-2021 FSC-klagomål mail.docx", "A 38317-2021")</f>
        <v/>
      </c>
      <c r="X62">
        <f>HYPERLINK("https://klasma.github.io/Logging_0882/tillsyn/A 38317-2021 tillsynsbegäran.docx", "A 38317-2021")</f>
        <v/>
      </c>
      <c r="Y62">
        <f>HYPERLINK("https://klasma.github.io/Logging_0882/tillsynsmail/A 38317-2021 tillsynsbegäran mail.docx", "A 38317-2021")</f>
        <v/>
      </c>
      <c r="Z62">
        <f>HYPERLINK("https://klasma.github.io/Logging_0882/fåglar/A 38317-2021 prioriterade fågelarter.docx", "A 38317-2021")</f>
        <v/>
      </c>
    </row>
    <row r="63" ht="15" customHeight="1">
      <c r="A63" t="inlineStr">
        <is>
          <t>A 38954-2021</t>
        </is>
      </c>
      <c r="B63" s="1" t="n">
        <v>44411</v>
      </c>
      <c r="C63" s="1" t="n">
        <v>45638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HYPERLINK("https://klasma.github.io/Logging_0882/artfynd/A 38954-2021 artfynd.xlsx", "A 38954-2021")</f>
        <v/>
      </c>
      <c r="T63">
        <f>HYPERLINK("https://klasma.github.io/Logging_0882/kartor/A 38954-2021 karta.png", "A 38954-2021")</f>
        <v/>
      </c>
      <c r="V63">
        <f>HYPERLINK("https://klasma.github.io/Logging_0882/klagomål/A 38954-2021 FSC-klagomål.docx", "A 38954-2021")</f>
        <v/>
      </c>
      <c r="W63">
        <f>HYPERLINK("https://klasma.github.io/Logging_0882/klagomålsmail/A 38954-2021 FSC-klagomål mail.docx", "A 38954-2021")</f>
        <v/>
      </c>
      <c r="X63">
        <f>HYPERLINK("https://klasma.github.io/Logging_0882/tillsyn/A 38954-2021 tillsynsbegäran.docx", "A 38954-2021")</f>
        <v/>
      </c>
      <c r="Y63">
        <f>HYPERLINK("https://klasma.github.io/Logging_0882/tillsynsmail/A 38954-2021 tillsynsbegäran mail.docx", "A 38954-2021")</f>
        <v/>
      </c>
      <c r="Z63">
        <f>HYPERLINK("https://klasma.github.io/Logging_0882/fåglar/A 38954-2021 prioriterade fågelarter.docx", "A 38954-2021")</f>
        <v/>
      </c>
    </row>
    <row r="64" ht="15" customHeight="1">
      <c r="A64" t="inlineStr">
        <is>
          <t>A 42374-2021</t>
        </is>
      </c>
      <c r="B64" s="1" t="n">
        <v>44427</v>
      </c>
      <c r="C64" s="1" t="n">
        <v>45638</v>
      </c>
      <c r="D64" t="inlineStr">
        <is>
          <t>KALMAR LÄN</t>
        </is>
      </c>
      <c r="E64" t="inlineStr">
        <is>
          <t>OSKARSHAMN</t>
        </is>
      </c>
      <c r="G64" t="n">
        <v>29.4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42374-2021 artfynd.xlsx", "A 42374-2021")</f>
        <v/>
      </c>
      <c r="T64">
        <f>HYPERLINK("https://klasma.github.io/Logging_0882/kartor/A 42374-2021 karta.png", "A 42374-2021")</f>
        <v/>
      </c>
      <c r="V64">
        <f>HYPERLINK("https://klasma.github.io/Logging_0882/klagomål/A 42374-2021 FSC-klagomål.docx", "A 42374-2021")</f>
        <v/>
      </c>
      <c r="W64">
        <f>HYPERLINK("https://klasma.github.io/Logging_0882/klagomålsmail/A 42374-2021 FSC-klagomål mail.docx", "A 42374-2021")</f>
        <v/>
      </c>
      <c r="X64">
        <f>HYPERLINK("https://klasma.github.io/Logging_0882/tillsyn/A 42374-2021 tillsynsbegäran.docx", "A 42374-2021")</f>
        <v/>
      </c>
      <c r="Y64">
        <f>HYPERLINK("https://klasma.github.io/Logging_0882/tillsynsmail/A 42374-2021 tillsynsbegäran mail.docx", "A 42374-2021")</f>
        <v/>
      </c>
      <c r="Z64">
        <f>HYPERLINK("https://klasma.github.io/Logging_0882/fåglar/A 42374-2021 prioriterade fågelarter.docx", "A 42374-2021")</f>
        <v/>
      </c>
    </row>
    <row r="65" ht="15" customHeight="1">
      <c r="A65" t="inlineStr">
        <is>
          <t>A 52162-2021</t>
        </is>
      </c>
      <c r="B65" s="1" t="n">
        <v>44463</v>
      </c>
      <c r="C65" s="1" t="n">
        <v>45638</v>
      </c>
      <c r="D65" t="inlineStr">
        <is>
          <t>KALMAR LÄN</t>
        </is>
      </c>
      <c r="E65" t="inlineStr">
        <is>
          <t>OSKARSHAMN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HYPERLINK("https://klasma.github.io/Logging_0882/artfynd/A 52162-2021 artfynd.xlsx", "A 52162-2021")</f>
        <v/>
      </c>
      <c r="T65">
        <f>HYPERLINK("https://klasma.github.io/Logging_0882/kartor/A 52162-2021 karta.png", "A 52162-2021")</f>
        <v/>
      </c>
      <c r="V65">
        <f>HYPERLINK("https://klasma.github.io/Logging_0882/klagomål/A 52162-2021 FSC-klagomål.docx", "A 52162-2021")</f>
        <v/>
      </c>
      <c r="W65">
        <f>HYPERLINK("https://klasma.github.io/Logging_0882/klagomålsmail/A 52162-2021 FSC-klagomål mail.docx", "A 52162-2021")</f>
        <v/>
      </c>
      <c r="X65">
        <f>HYPERLINK("https://klasma.github.io/Logging_0882/tillsyn/A 52162-2021 tillsynsbegäran.docx", "A 52162-2021")</f>
        <v/>
      </c>
      <c r="Y65">
        <f>HYPERLINK("https://klasma.github.io/Logging_0882/tillsynsmail/A 52162-2021 tillsynsbegäran mail.docx", "A 52162-2021")</f>
        <v/>
      </c>
    </row>
    <row r="66" ht="15" customHeight="1">
      <c r="A66" t="inlineStr">
        <is>
          <t>A 59683-2021</t>
        </is>
      </c>
      <c r="B66" s="1" t="n">
        <v>44494</v>
      </c>
      <c r="C66" s="1" t="n">
        <v>45638</v>
      </c>
      <c r="D66" t="inlineStr">
        <is>
          <t>KALMAR LÄN</t>
        </is>
      </c>
      <c r="E66" t="inlineStr">
        <is>
          <t>OSKARSHAMN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59683-2021 artfynd.xlsx", "A 59683-2021")</f>
        <v/>
      </c>
      <c r="T66">
        <f>HYPERLINK("https://klasma.github.io/Logging_0882/kartor/A 59683-2021 karta.png", "A 59683-2021")</f>
        <v/>
      </c>
      <c r="V66">
        <f>HYPERLINK("https://klasma.github.io/Logging_0882/klagomål/A 59683-2021 FSC-klagomål.docx", "A 59683-2021")</f>
        <v/>
      </c>
      <c r="W66">
        <f>HYPERLINK("https://klasma.github.io/Logging_0882/klagomålsmail/A 59683-2021 FSC-klagomål mail.docx", "A 59683-2021")</f>
        <v/>
      </c>
      <c r="X66">
        <f>HYPERLINK("https://klasma.github.io/Logging_0882/tillsyn/A 59683-2021 tillsynsbegäran.docx", "A 59683-2021")</f>
        <v/>
      </c>
      <c r="Y66">
        <f>HYPERLINK("https://klasma.github.io/Logging_0882/tillsynsmail/A 59683-2021 tillsynsbegäran mail.docx", "A 59683-2021")</f>
        <v/>
      </c>
      <c r="Z66">
        <f>HYPERLINK("https://klasma.github.io/Logging_0882/fåglar/A 59683-2021 prioriterade fågelarter.docx", "A 59683-2021")</f>
        <v/>
      </c>
    </row>
    <row r="67" ht="15" customHeight="1">
      <c r="A67" t="inlineStr">
        <is>
          <t>A 32030-2022</t>
        </is>
      </c>
      <c r="B67" s="1" t="n">
        <v>44778</v>
      </c>
      <c r="C67" s="1" t="n">
        <v>45638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HYPERLINK("https://klasma.github.io/Logging_0882/artfynd/A 32030-2022 artfynd.xlsx", "A 32030-2022")</f>
        <v/>
      </c>
      <c r="T67">
        <f>HYPERLINK("https://klasma.github.io/Logging_0882/kartor/A 32030-2022 karta.png", "A 32030-2022")</f>
        <v/>
      </c>
      <c r="V67">
        <f>HYPERLINK("https://klasma.github.io/Logging_0882/klagomål/A 32030-2022 FSC-klagomål.docx", "A 32030-2022")</f>
        <v/>
      </c>
      <c r="W67">
        <f>HYPERLINK("https://klasma.github.io/Logging_0882/klagomålsmail/A 32030-2022 FSC-klagomål mail.docx", "A 32030-2022")</f>
        <v/>
      </c>
      <c r="X67">
        <f>HYPERLINK("https://klasma.github.io/Logging_0882/tillsyn/A 32030-2022 tillsynsbegäran.docx", "A 32030-2022")</f>
        <v/>
      </c>
      <c r="Y67">
        <f>HYPERLINK("https://klasma.github.io/Logging_0882/tillsynsmail/A 32030-2022 tillsynsbegäran mail.docx", "A 32030-2022")</f>
        <v/>
      </c>
    </row>
    <row r="68" ht="15" customHeight="1">
      <c r="A68" t="inlineStr">
        <is>
          <t>A 33241-2022</t>
        </is>
      </c>
      <c r="B68" s="1" t="n">
        <v>44786</v>
      </c>
      <c r="C68" s="1" t="n">
        <v>45638</v>
      </c>
      <c r="D68" t="inlineStr">
        <is>
          <t>KALMAR LÄN</t>
        </is>
      </c>
      <c r="E68" t="inlineStr">
        <is>
          <t>OSKARSHAMN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HYPERLINK("https://klasma.github.io/Logging_0882/artfynd/A 33241-2022 artfynd.xlsx", "A 33241-2022")</f>
        <v/>
      </c>
      <c r="T68">
        <f>HYPERLINK("https://klasma.github.io/Logging_0882/kartor/A 33241-2022 karta.png", "A 33241-2022")</f>
        <v/>
      </c>
      <c r="V68">
        <f>HYPERLINK("https://klasma.github.io/Logging_0882/klagomål/A 33241-2022 FSC-klagomål.docx", "A 33241-2022")</f>
        <v/>
      </c>
      <c r="W68">
        <f>HYPERLINK("https://klasma.github.io/Logging_0882/klagomålsmail/A 33241-2022 FSC-klagomål mail.docx", "A 33241-2022")</f>
        <v/>
      </c>
      <c r="X68">
        <f>HYPERLINK("https://klasma.github.io/Logging_0882/tillsyn/A 33241-2022 tillsynsbegäran.docx", "A 33241-2022")</f>
        <v/>
      </c>
      <c r="Y68">
        <f>HYPERLINK("https://klasma.github.io/Logging_0882/tillsynsmail/A 33241-2022 tillsynsbegäran mail.docx", "A 33241-2022")</f>
        <v/>
      </c>
    </row>
    <row r="69" ht="15" customHeight="1">
      <c r="A69" t="inlineStr">
        <is>
          <t>A 40258-2022</t>
        </is>
      </c>
      <c r="B69" s="1" t="n">
        <v>44820</v>
      </c>
      <c r="C69" s="1" t="n">
        <v>45638</v>
      </c>
      <c r="D69" t="inlineStr">
        <is>
          <t>KALMAR LÄN</t>
        </is>
      </c>
      <c r="E69" t="inlineStr">
        <is>
          <t>OSKARSHAMN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HYPERLINK("https://klasma.github.io/Logging_0882/artfynd/A 40258-2022 artfynd.xlsx", "A 40258-2022")</f>
        <v/>
      </c>
      <c r="T69">
        <f>HYPERLINK("https://klasma.github.io/Logging_0882/kartor/A 40258-2022 karta.png", "A 40258-2022")</f>
        <v/>
      </c>
      <c r="V69">
        <f>HYPERLINK("https://klasma.github.io/Logging_0882/klagomål/A 40258-2022 FSC-klagomål.docx", "A 40258-2022")</f>
        <v/>
      </c>
      <c r="W69">
        <f>HYPERLINK("https://klasma.github.io/Logging_0882/klagomålsmail/A 40258-2022 FSC-klagomål mail.docx", "A 40258-2022")</f>
        <v/>
      </c>
      <c r="X69">
        <f>HYPERLINK("https://klasma.github.io/Logging_0882/tillsyn/A 40258-2022 tillsynsbegäran.docx", "A 40258-2022")</f>
        <v/>
      </c>
      <c r="Y69">
        <f>HYPERLINK("https://klasma.github.io/Logging_0882/tillsynsmail/A 40258-2022 tillsynsbegäran mail.docx", "A 40258-2022")</f>
        <v/>
      </c>
    </row>
    <row r="70" ht="15" customHeight="1">
      <c r="A70" t="inlineStr">
        <is>
          <t>A 48442-2022</t>
        </is>
      </c>
      <c r="B70" s="1" t="n">
        <v>44858</v>
      </c>
      <c r="C70" s="1" t="n">
        <v>45638</v>
      </c>
      <c r="D70" t="inlineStr">
        <is>
          <t>KALMAR LÄN</t>
        </is>
      </c>
      <c r="E70" t="inlineStr">
        <is>
          <t>OSKARSHAMN</t>
        </is>
      </c>
      <c r="G70" t="n">
        <v>2.9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HYPERLINK("https://klasma.github.io/Logging_0882/artfynd/A 48442-2022 artfynd.xlsx", "A 48442-2022")</f>
        <v/>
      </c>
      <c r="T70">
        <f>HYPERLINK("https://klasma.github.io/Logging_0882/kartor/A 48442-2022 karta.png", "A 48442-2022")</f>
        <v/>
      </c>
      <c r="V70">
        <f>HYPERLINK("https://klasma.github.io/Logging_0882/klagomål/A 48442-2022 FSC-klagomål.docx", "A 48442-2022")</f>
        <v/>
      </c>
      <c r="W70">
        <f>HYPERLINK("https://klasma.github.io/Logging_0882/klagomålsmail/A 48442-2022 FSC-klagomål mail.docx", "A 48442-2022")</f>
        <v/>
      </c>
      <c r="X70">
        <f>HYPERLINK("https://klasma.github.io/Logging_0882/tillsyn/A 48442-2022 tillsynsbegäran.docx", "A 48442-2022")</f>
        <v/>
      </c>
      <c r="Y70">
        <f>HYPERLINK("https://klasma.github.io/Logging_0882/tillsynsmail/A 48442-2022 tillsynsbegäran mail.docx", "A 48442-2022")</f>
        <v/>
      </c>
    </row>
    <row r="71" ht="15" customHeight="1">
      <c r="A71" t="inlineStr">
        <is>
          <t>A 8722-2023</t>
        </is>
      </c>
      <c r="B71" s="1" t="n">
        <v>44978</v>
      </c>
      <c r="C71" s="1" t="n">
        <v>45638</v>
      </c>
      <c r="D71" t="inlineStr">
        <is>
          <t>KALMAR LÄN</t>
        </is>
      </c>
      <c r="E71" t="inlineStr">
        <is>
          <t>OSKARSHAMN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HYPERLINK("https://klasma.github.io/Logging_0882/artfynd/A 8722-2023 artfynd.xlsx", "A 8722-2023")</f>
        <v/>
      </c>
      <c r="T71">
        <f>HYPERLINK("https://klasma.github.io/Logging_0882/kartor/A 8722-2023 karta.png", "A 8722-2023")</f>
        <v/>
      </c>
      <c r="V71">
        <f>HYPERLINK("https://klasma.github.io/Logging_0882/klagomål/A 8722-2023 FSC-klagomål.docx", "A 8722-2023")</f>
        <v/>
      </c>
      <c r="W71">
        <f>HYPERLINK("https://klasma.github.io/Logging_0882/klagomålsmail/A 8722-2023 FSC-klagomål mail.docx", "A 8722-2023")</f>
        <v/>
      </c>
      <c r="X71">
        <f>HYPERLINK("https://klasma.github.io/Logging_0882/tillsyn/A 8722-2023 tillsynsbegäran.docx", "A 8722-2023")</f>
        <v/>
      </c>
      <c r="Y71">
        <f>HYPERLINK("https://klasma.github.io/Logging_0882/tillsynsmail/A 8722-2023 tillsynsbegäran mail.docx", "A 8722-2023")</f>
        <v/>
      </c>
    </row>
    <row r="72" ht="15" customHeight="1">
      <c r="A72" t="inlineStr">
        <is>
          <t>A 27854-2023</t>
        </is>
      </c>
      <c r="B72" s="1" t="n">
        <v>45098</v>
      </c>
      <c r="C72" s="1" t="n">
        <v>45638</v>
      </c>
      <c r="D72" t="inlineStr">
        <is>
          <t>KALMAR LÄN</t>
        </is>
      </c>
      <c r="E72" t="inlineStr">
        <is>
          <t>OSKARSHAMN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HYPERLINK("https://klasma.github.io/Logging_0882/artfynd/A 27854-2023 artfynd.xlsx", "A 27854-2023")</f>
        <v/>
      </c>
      <c r="T72">
        <f>HYPERLINK("https://klasma.github.io/Logging_0882/kartor/A 27854-2023 karta.png", "A 27854-2023")</f>
        <v/>
      </c>
      <c r="V72">
        <f>HYPERLINK("https://klasma.github.io/Logging_0882/klagomål/A 27854-2023 FSC-klagomål.docx", "A 27854-2023")</f>
        <v/>
      </c>
      <c r="W72">
        <f>HYPERLINK("https://klasma.github.io/Logging_0882/klagomålsmail/A 27854-2023 FSC-klagomål mail.docx", "A 27854-2023")</f>
        <v/>
      </c>
      <c r="X72">
        <f>HYPERLINK("https://klasma.github.io/Logging_0882/tillsyn/A 27854-2023 tillsynsbegäran.docx", "A 27854-2023")</f>
        <v/>
      </c>
      <c r="Y72">
        <f>HYPERLINK("https://klasma.github.io/Logging_0882/tillsynsmail/A 27854-2023 tillsynsbegäran mail.docx", "A 27854-2023")</f>
        <v/>
      </c>
    </row>
    <row r="73" ht="15" customHeight="1">
      <c r="A73" t="inlineStr">
        <is>
          <t>A 43009-2023</t>
        </is>
      </c>
      <c r="B73" s="1" t="n">
        <v>45182</v>
      </c>
      <c r="C73" s="1" t="n">
        <v>45638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HYPERLINK("https://klasma.github.io/Logging_0882/artfynd/A 43009-2023 artfynd.xlsx", "A 43009-2023")</f>
        <v/>
      </c>
      <c r="T73">
        <f>HYPERLINK("https://klasma.github.io/Logging_0882/kartor/A 43009-2023 karta.png", "A 43009-2023")</f>
        <v/>
      </c>
      <c r="V73">
        <f>HYPERLINK("https://klasma.github.io/Logging_0882/klagomål/A 43009-2023 FSC-klagomål.docx", "A 43009-2023")</f>
        <v/>
      </c>
      <c r="W73">
        <f>HYPERLINK("https://klasma.github.io/Logging_0882/klagomålsmail/A 43009-2023 FSC-klagomål mail.docx", "A 43009-2023")</f>
        <v/>
      </c>
      <c r="X73">
        <f>HYPERLINK("https://klasma.github.io/Logging_0882/tillsyn/A 43009-2023 tillsynsbegäran.docx", "A 43009-2023")</f>
        <v/>
      </c>
      <c r="Y73">
        <f>HYPERLINK("https://klasma.github.io/Logging_0882/tillsynsmail/A 43009-2023 tillsynsbegäran mail.docx", "A 43009-2023")</f>
        <v/>
      </c>
    </row>
    <row r="74" ht="15" customHeight="1">
      <c r="A74" t="inlineStr">
        <is>
          <t>A 45836-2023</t>
        </is>
      </c>
      <c r="B74" s="1" t="n">
        <v>45195</v>
      </c>
      <c r="C74" s="1" t="n">
        <v>45638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45836-2023 artfynd.xlsx", "A 45836-2023")</f>
        <v/>
      </c>
      <c r="T74">
        <f>HYPERLINK("https://klasma.github.io/Logging_0882/kartor/A 45836-2023 karta.png", "A 45836-2023")</f>
        <v/>
      </c>
      <c r="V74">
        <f>HYPERLINK("https://klasma.github.io/Logging_0882/klagomål/A 45836-2023 FSC-klagomål.docx", "A 45836-2023")</f>
        <v/>
      </c>
      <c r="W74">
        <f>HYPERLINK("https://klasma.github.io/Logging_0882/klagomålsmail/A 45836-2023 FSC-klagomål mail.docx", "A 45836-2023")</f>
        <v/>
      </c>
      <c r="X74">
        <f>HYPERLINK("https://klasma.github.io/Logging_0882/tillsyn/A 45836-2023 tillsynsbegäran.docx", "A 45836-2023")</f>
        <v/>
      </c>
      <c r="Y74">
        <f>HYPERLINK("https://klasma.github.io/Logging_0882/tillsynsmail/A 45836-2023 tillsynsbegäran mail.docx", "A 45836-2023")</f>
        <v/>
      </c>
    </row>
    <row r="75" ht="15" customHeight="1">
      <c r="A75" t="inlineStr">
        <is>
          <t>A 52211-2023</t>
        </is>
      </c>
      <c r="B75" s="1" t="n">
        <v>45224</v>
      </c>
      <c r="C75" s="1" t="n">
        <v>45638</v>
      </c>
      <c r="D75" t="inlineStr">
        <is>
          <t>KALMAR LÄN</t>
        </is>
      </c>
      <c r="E75" t="inlineStr">
        <is>
          <t>OSKARSHAMN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Kösa</t>
        </is>
      </c>
      <c r="S75">
        <f>HYPERLINK("https://klasma.github.io/Logging_0882/artfynd/A 52211-2023 artfynd.xlsx", "A 52211-2023")</f>
        <v/>
      </c>
      <c r="T75">
        <f>HYPERLINK("https://klasma.github.io/Logging_0882/kartor/A 52211-2023 karta.png", "A 52211-2023")</f>
        <v/>
      </c>
      <c r="V75">
        <f>HYPERLINK("https://klasma.github.io/Logging_0882/klagomål/A 52211-2023 FSC-klagomål.docx", "A 52211-2023")</f>
        <v/>
      </c>
      <c r="W75">
        <f>HYPERLINK("https://klasma.github.io/Logging_0882/klagomålsmail/A 52211-2023 FSC-klagomål mail.docx", "A 52211-2023")</f>
        <v/>
      </c>
      <c r="X75">
        <f>HYPERLINK("https://klasma.github.io/Logging_0882/tillsyn/A 52211-2023 tillsynsbegäran.docx", "A 52211-2023")</f>
        <v/>
      </c>
      <c r="Y75">
        <f>HYPERLINK("https://klasma.github.io/Logging_0882/tillsynsmail/A 52211-2023 tillsynsbegäran mail.docx", "A 52211-2023")</f>
        <v/>
      </c>
    </row>
    <row r="76" ht="15" customHeight="1">
      <c r="A76" t="inlineStr">
        <is>
          <t>A 54179-2023</t>
        </is>
      </c>
      <c r="B76" s="1" t="n">
        <v>45225</v>
      </c>
      <c r="C76" s="1" t="n">
        <v>45638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Klubbsprötad bastardsvärmare</t>
        </is>
      </c>
      <c r="S76">
        <f>HYPERLINK("https://klasma.github.io/Logging_0882/artfynd/A 54179-2023 artfynd.xlsx", "A 54179-2023")</f>
        <v/>
      </c>
      <c r="T76">
        <f>HYPERLINK("https://klasma.github.io/Logging_0882/kartor/A 54179-2023 karta.png", "A 54179-2023")</f>
        <v/>
      </c>
      <c r="V76">
        <f>HYPERLINK("https://klasma.github.io/Logging_0882/klagomål/A 54179-2023 FSC-klagomål.docx", "A 54179-2023")</f>
        <v/>
      </c>
      <c r="W76">
        <f>HYPERLINK("https://klasma.github.io/Logging_0882/klagomålsmail/A 54179-2023 FSC-klagomål mail.docx", "A 54179-2023")</f>
        <v/>
      </c>
      <c r="X76">
        <f>HYPERLINK("https://klasma.github.io/Logging_0882/tillsyn/A 54179-2023 tillsynsbegäran.docx", "A 54179-2023")</f>
        <v/>
      </c>
      <c r="Y76">
        <f>HYPERLINK("https://klasma.github.io/Logging_0882/tillsynsmail/A 54179-2023 tillsynsbegäran mail.docx", "A 54179-2023")</f>
        <v/>
      </c>
    </row>
    <row r="77" ht="15" customHeight="1">
      <c r="A77" t="inlineStr">
        <is>
          <t>A 19705-2024</t>
        </is>
      </c>
      <c r="B77" s="1" t="n">
        <v>45432</v>
      </c>
      <c r="C77" s="1" t="n">
        <v>45638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HYPERLINK("https://klasma.github.io/Logging_0882/artfynd/A 19705-2024 artfynd.xlsx", "A 19705-2024")</f>
        <v/>
      </c>
      <c r="T77">
        <f>HYPERLINK("https://klasma.github.io/Logging_0882/kartor/A 19705-2024 karta.png", "A 19705-2024")</f>
        <v/>
      </c>
      <c r="V77">
        <f>HYPERLINK("https://klasma.github.io/Logging_0882/klagomål/A 19705-2024 FSC-klagomål.docx", "A 19705-2024")</f>
        <v/>
      </c>
      <c r="W77">
        <f>HYPERLINK("https://klasma.github.io/Logging_0882/klagomålsmail/A 19705-2024 FSC-klagomål mail.docx", "A 19705-2024")</f>
        <v/>
      </c>
      <c r="X77">
        <f>HYPERLINK("https://klasma.github.io/Logging_0882/tillsyn/A 19705-2024 tillsynsbegäran.docx", "A 19705-2024")</f>
        <v/>
      </c>
      <c r="Y77">
        <f>HYPERLINK("https://klasma.github.io/Logging_0882/tillsynsmail/A 19705-2024 tillsynsbegäran mail.docx", "A 19705-2024")</f>
        <v/>
      </c>
    </row>
    <row r="78" ht="15" customHeight="1">
      <c r="A78" t="inlineStr">
        <is>
          <t>A 34836-2024</t>
        </is>
      </c>
      <c r="B78" s="1" t="n">
        <v>45526</v>
      </c>
      <c r="C78" s="1" t="n">
        <v>45638</v>
      </c>
      <c r="D78" t="inlineStr">
        <is>
          <t>KALMAR LÄN</t>
        </is>
      </c>
      <c r="E78" t="inlineStr">
        <is>
          <t>OSKARSHAMN</t>
        </is>
      </c>
      <c r="G78" t="n">
        <v>8.6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34836-2024 artfynd.xlsx", "A 34836-2024")</f>
        <v/>
      </c>
      <c r="T78">
        <f>HYPERLINK("https://klasma.github.io/Logging_0882/kartor/A 34836-2024 karta.png", "A 34836-2024")</f>
        <v/>
      </c>
      <c r="V78">
        <f>HYPERLINK("https://klasma.github.io/Logging_0882/klagomål/A 34836-2024 FSC-klagomål.docx", "A 34836-2024")</f>
        <v/>
      </c>
      <c r="W78">
        <f>HYPERLINK("https://klasma.github.io/Logging_0882/klagomålsmail/A 34836-2024 FSC-klagomål mail.docx", "A 34836-2024")</f>
        <v/>
      </c>
      <c r="X78">
        <f>HYPERLINK("https://klasma.github.io/Logging_0882/tillsyn/A 34836-2024 tillsynsbegäran.docx", "A 34836-2024")</f>
        <v/>
      </c>
      <c r="Y78">
        <f>HYPERLINK("https://klasma.github.io/Logging_0882/tillsynsmail/A 34836-2024 tillsynsbegäran mail.docx", "A 34836-2024")</f>
        <v/>
      </c>
    </row>
    <row r="79" ht="15" customHeight="1">
      <c r="A79" t="inlineStr">
        <is>
          <t>A 35155-2024</t>
        </is>
      </c>
      <c r="B79" s="1" t="n">
        <v>45530</v>
      </c>
      <c r="C79" s="1" t="n">
        <v>45638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HYPERLINK("https://klasma.github.io/Logging_0882/artfynd/A 35155-2024 artfynd.xlsx", "A 35155-2024")</f>
        <v/>
      </c>
      <c r="T79">
        <f>HYPERLINK("https://klasma.github.io/Logging_0882/kartor/A 35155-2024 karta.png", "A 35155-2024")</f>
        <v/>
      </c>
      <c r="V79">
        <f>HYPERLINK("https://klasma.github.io/Logging_0882/klagomål/A 35155-2024 FSC-klagomål.docx", "A 35155-2024")</f>
        <v/>
      </c>
      <c r="W79">
        <f>HYPERLINK("https://klasma.github.io/Logging_0882/klagomålsmail/A 35155-2024 FSC-klagomål mail.docx", "A 35155-2024")</f>
        <v/>
      </c>
      <c r="X79">
        <f>HYPERLINK("https://klasma.github.io/Logging_0882/tillsyn/A 35155-2024 tillsynsbegäran.docx", "A 35155-2024")</f>
        <v/>
      </c>
      <c r="Y79">
        <f>HYPERLINK("https://klasma.github.io/Logging_0882/tillsynsmail/A 35155-2024 tillsynsbegäran mail.docx", "A 35155-2024")</f>
        <v/>
      </c>
    </row>
    <row r="80" ht="15" customHeight="1">
      <c r="A80" t="inlineStr">
        <is>
          <t>A 46276-2024</t>
        </is>
      </c>
      <c r="B80" s="1" t="n">
        <v>45581</v>
      </c>
      <c r="C80" s="1" t="n">
        <v>45638</v>
      </c>
      <c r="D80" t="inlineStr">
        <is>
          <t>KALMAR LÄN</t>
        </is>
      </c>
      <c r="E80" t="inlineStr">
        <is>
          <t>OSKARSHAMN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46276-2024 artfynd.xlsx", "A 46276-2024")</f>
        <v/>
      </c>
      <c r="T80">
        <f>HYPERLINK("https://klasma.github.io/Logging_0882/kartor/A 46276-2024 karta.png", "A 46276-2024")</f>
        <v/>
      </c>
      <c r="V80">
        <f>HYPERLINK("https://klasma.github.io/Logging_0882/klagomål/A 46276-2024 FSC-klagomål.docx", "A 46276-2024")</f>
        <v/>
      </c>
      <c r="W80">
        <f>HYPERLINK("https://klasma.github.io/Logging_0882/klagomålsmail/A 46276-2024 FSC-klagomål mail.docx", "A 46276-2024")</f>
        <v/>
      </c>
      <c r="X80">
        <f>HYPERLINK("https://klasma.github.io/Logging_0882/tillsyn/A 46276-2024 tillsynsbegäran.docx", "A 46276-2024")</f>
        <v/>
      </c>
      <c r="Y80">
        <f>HYPERLINK("https://klasma.github.io/Logging_0882/tillsynsmail/A 46276-2024 tillsynsbegäran mail.docx", "A 46276-2024")</f>
        <v/>
      </c>
    </row>
    <row r="81" ht="15" customHeight="1">
      <c r="A81" t="inlineStr">
        <is>
          <t>A 17837-2019</t>
        </is>
      </c>
      <c r="B81" s="1" t="n">
        <v>43556</v>
      </c>
      <c r="C81" s="1" t="n">
        <v>45638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17945-2019</t>
        </is>
      </c>
      <c r="B82" s="1" t="n">
        <v>43557</v>
      </c>
      <c r="C82" s="1" t="n">
        <v>45638</v>
      </c>
      <c r="D82" t="inlineStr">
        <is>
          <t>KALMAR LÄN</t>
        </is>
      </c>
      <c r="E82" t="inlineStr">
        <is>
          <t>OSKARSHAMN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17908-2019</t>
        </is>
      </c>
      <c r="B83" s="1" t="n">
        <v>43557</v>
      </c>
      <c r="C83" s="1" t="n">
        <v>45638</v>
      </c>
      <c r="D83" t="inlineStr">
        <is>
          <t>KALMAR LÄN</t>
        </is>
      </c>
      <c r="E83" t="inlineStr">
        <is>
          <t>OSKARSHAMN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18241-2019</t>
        </is>
      </c>
      <c r="B84" s="1" t="n">
        <v>43558</v>
      </c>
      <c r="C84" s="1" t="n">
        <v>45638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19618-2019</t>
        </is>
      </c>
      <c r="B85" s="1" t="n">
        <v>43566</v>
      </c>
      <c r="C85" s="1" t="n">
        <v>45638</v>
      </c>
      <c r="D85" t="inlineStr">
        <is>
          <t>KALMAR LÄN</t>
        </is>
      </c>
      <c r="E85" t="inlineStr">
        <is>
          <t>OSKARSHAMN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20225-2019</t>
        </is>
      </c>
      <c r="B86" s="1" t="n">
        <v>43567</v>
      </c>
      <c r="C86" s="1" t="n">
        <v>45638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21323-2019</t>
        </is>
      </c>
      <c r="B87" s="1" t="n">
        <v>43579</v>
      </c>
      <c r="C87" s="1" t="n">
        <v>45638</v>
      </c>
      <c r="D87" t="inlineStr">
        <is>
          <t>KALMAR LÄN</t>
        </is>
      </c>
      <c r="E87" t="inlineStr">
        <is>
          <t>OSKARSHAMN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22405-2019</t>
        </is>
      </c>
      <c r="B88" s="1" t="n">
        <v>43587</v>
      </c>
      <c r="C88" s="1" t="n">
        <v>45638</v>
      </c>
      <c r="D88" t="inlineStr">
        <is>
          <t>KALMAR LÄN</t>
        </is>
      </c>
      <c r="E88" t="inlineStr">
        <is>
          <t>OSKARSHAMN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23831-2019</t>
        </is>
      </c>
      <c r="B89" s="1" t="n">
        <v>43595</v>
      </c>
      <c r="C89" s="1" t="n">
        <v>45638</v>
      </c>
      <c r="D89" t="inlineStr">
        <is>
          <t>KALMAR LÄN</t>
        </is>
      </c>
      <c r="E89" t="inlineStr">
        <is>
          <t>OSKARSHAMN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23773-2019</t>
        </is>
      </c>
      <c r="B90" s="1" t="n">
        <v>43595</v>
      </c>
      <c r="C90" s="1" t="n">
        <v>45638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23819-2019</t>
        </is>
      </c>
      <c r="B91" s="1" t="n">
        <v>43595</v>
      </c>
      <c r="C91" s="1" t="n">
        <v>45638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23768-2019</t>
        </is>
      </c>
      <c r="B92" s="1" t="n">
        <v>43595</v>
      </c>
      <c r="C92" s="1" t="n">
        <v>45638</v>
      </c>
      <c r="D92" t="inlineStr">
        <is>
          <t>KALMAR LÄN</t>
        </is>
      </c>
      <c r="E92" t="inlineStr">
        <is>
          <t>OSKARSHAMN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26380-2019</t>
        </is>
      </c>
      <c r="B93" s="1" t="n">
        <v>43606</v>
      </c>
      <c r="C93" s="1" t="n">
        <v>45638</v>
      </c>
      <c r="D93" t="inlineStr">
        <is>
          <t>KALMAR LÄN</t>
        </is>
      </c>
      <c r="E93" t="inlineStr">
        <is>
          <t>OSKARSHAMN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25585-2019</t>
        </is>
      </c>
      <c r="B94" s="1" t="n">
        <v>43607</v>
      </c>
      <c r="C94" s="1" t="n">
        <v>45638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25869-2019</t>
        </is>
      </c>
      <c r="B95" s="1" t="n">
        <v>43608</v>
      </c>
      <c r="C95" s="1" t="n">
        <v>45638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25870-2019</t>
        </is>
      </c>
      <c r="B96" s="1" t="n">
        <v>43608</v>
      </c>
      <c r="C96" s="1" t="n">
        <v>45638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25871-2019</t>
        </is>
      </c>
      <c r="B97" s="1" t="n">
        <v>43608</v>
      </c>
      <c r="C97" s="1" t="n">
        <v>45638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28038-2019</t>
        </is>
      </c>
      <c r="B98" s="1" t="n">
        <v>43613</v>
      </c>
      <c r="C98" s="1" t="n">
        <v>45638</v>
      </c>
      <c r="D98" t="inlineStr">
        <is>
          <t>KALMAR LÄN</t>
        </is>
      </c>
      <c r="E98" t="inlineStr">
        <is>
          <t>OSKARSHAMN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27581-2019</t>
        </is>
      </c>
      <c r="B99" s="1" t="n">
        <v>43619</v>
      </c>
      <c r="C99" s="1" t="n">
        <v>45638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27534-2019</t>
        </is>
      </c>
      <c r="B100" s="1" t="n">
        <v>43619</v>
      </c>
      <c r="C100" s="1" t="n">
        <v>45638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27584-2019</t>
        </is>
      </c>
      <c r="B101" s="1" t="n">
        <v>43619</v>
      </c>
      <c r="C101" s="1" t="n">
        <v>45638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29605-2019</t>
        </is>
      </c>
      <c r="B102" s="1" t="n">
        <v>43630</v>
      </c>
      <c r="C102" s="1" t="n">
        <v>45638</v>
      </c>
      <c r="D102" t="inlineStr">
        <is>
          <t>KALMAR LÄN</t>
        </is>
      </c>
      <c r="E102" t="inlineStr">
        <is>
          <t>OSKARSHAMN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29818-2019</t>
        </is>
      </c>
      <c r="B103" s="1" t="n">
        <v>43633</v>
      </c>
      <c r="C103" s="1" t="n">
        <v>45638</v>
      </c>
      <c r="D103" t="inlineStr">
        <is>
          <t>KALMAR LÄN</t>
        </is>
      </c>
      <c r="E103" t="inlineStr">
        <is>
          <t>OSKARSHAMN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31021-2019</t>
        </is>
      </c>
      <c r="B104" s="1" t="n">
        <v>43640</v>
      </c>
      <c r="C104" s="1" t="n">
        <v>45638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31041-2019</t>
        </is>
      </c>
      <c r="B105" s="1" t="n">
        <v>43640</v>
      </c>
      <c r="C105" s="1" t="n">
        <v>45638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31128-2019</t>
        </is>
      </c>
      <c r="B106" s="1" t="n">
        <v>43640</v>
      </c>
      <c r="C106" s="1" t="n">
        <v>45638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31509-2019</t>
        </is>
      </c>
      <c r="B107" s="1" t="n">
        <v>43641</v>
      </c>
      <c r="C107" s="1" t="n">
        <v>45638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32323-2019</t>
        </is>
      </c>
      <c r="B108" s="1" t="n">
        <v>43644</v>
      </c>
      <c r="C108" s="1" t="n">
        <v>45638</v>
      </c>
      <c r="D108" t="inlineStr">
        <is>
          <t>KALMAR LÄN</t>
        </is>
      </c>
      <c r="E108" t="inlineStr">
        <is>
          <t>OSKARSHAMN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32329-2019</t>
        </is>
      </c>
      <c r="B109" s="1" t="n">
        <v>43644</v>
      </c>
      <c r="C109" s="1" t="n">
        <v>45638</v>
      </c>
      <c r="D109" t="inlineStr">
        <is>
          <t>KALMAR LÄN</t>
        </is>
      </c>
      <c r="E109" t="inlineStr">
        <is>
          <t>OSKARSHAMN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32595-2019</t>
        </is>
      </c>
      <c r="B110" s="1" t="n">
        <v>43647</v>
      </c>
      <c r="C110" s="1" t="n">
        <v>45638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32913-2019</t>
        </is>
      </c>
      <c r="B111" s="1" t="n">
        <v>43648</v>
      </c>
      <c r="C111" s="1" t="n">
        <v>45638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32906-2019</t>
        </is>
      </c>
      <c r="B112" s="1" t="n">
        <v>43648</v>
      </c>
      <c r="C112" s="1" t="n">
        <v>45638</v>
      </c>
      <c r="D112" t="inlineStr">
        <is>
          <t>KALMAR LÄN</t>
        </is>
      </c>
      <c r="E112" t="inlineStr">
        <is>
          <t>OSKARSHAMN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33086-2019</t>
        </is>
      </c>
      <c r="B113" s="1" t="n">
        <v>43649</v>
      </c>
      <c r="C113" s="1" t="n">
        <v>45638</v>
      </c>
      <c r="D113" t="inlineStr">
        <is>
          <t>KALMAR LÄN</t>
        </is>
      </c>
      <c r="E113" t="inlineStr">
        <is>
          <t>OSKARSHAMN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33076-2019</t>
        </is>
      </c>
      <c r="B114" s="1" t="n">
        <v>43649</v>
      </c>
      <c r="C114" s="1" t="n">
        <v>45638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33927-2019</t>
        </is>
      </c>
      <c r="B115" s="1" t="n">
        <v>43654</v>
      </c>
      <c r="C115" s="1" t="n">
        <v>45638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33929-2019</t>
        </is>
      </c>
      <c r="B116" s="1" t="n">
        <v>43654</v>
      </c>
      <c r="C116" s="1" t="n">
        <v>45638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34245-2019</t>
        </is>
      </c>
      <c r="B117" s="1" t="n">
        <v>43655</v>
      </c>
      <c r="C117" s="1" t="n">
        <v>45638</v>
      </c>
      <c r="D117" t="inlineStr">
        <is>
          <t>KALMAR LÄN</t>
        </is>
      </c>
      <c r="E117" t="inlineStr">
        <is>
          <t>OSKARSHAMN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34515-2019</t>
        </is>
      </c>
      <c r="B118" s="1" t="n">
        <v>43657</v>
      </c>
      <c r="C118" s="1" t="n">
        <v>45638</v>
      </c>
      <c r="D118" t="inlineStr">
        <is>
          <t>KALMAR LÄN</t>
        </is>
      </c>
      <c r="E118" t="inlineStr">
        <is>
          <t>OSKARSHAMN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34595-2019</t>
        </is>
      </c>
      <c r="B119" s="1" t="n">
        <v>43657</v>
      </c>
      <c r="C119" s="1" t="n">
        <v>45638</v>
      </c>
      <c r="D119" t="inlineStr">
        <is>
          <t>KALMAR LÄN</t>
        </is>
      </c>
      <c r="E119" t="inlineStr">
        <is>
          <t>OSKARSHAMN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34532-2019</t>
        </is>
      </c>
      <c r="B120" s="1" t="n">
        <v>43657</v>
      </c>
      <c r="C120" s="1" t="n">
        <v>45638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34587-2019</t>
        </is>
      </c>
      <c r="B121" s="1" t="n">
        <v>43657</v>
      </c>
      <c r="C121" s="1" t="n">
        <v>45638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35765-2019</t>
        </is>
      </c>
      <c r="B122" s="1" t="n">
        <v>43665</v>
      </c>
      <c r="C122" s="1" t="n">
        <v>45638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35764-2019</t>
        </is>
      </c>
      <c r="B123" s="1" t="n">
        <v>43665</v>
      </c>
      <c r="C123" s="1" t="n">
        <v>45638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35762-2019</t>
        </is>
      </c>
      <c r="B124" s="1" t="n">
        <v>43665</v>
      </c>
      <c r="C124" s="1" t="n">
        <v>45638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36254-2019</t>
        </is>
      </c>
      <c r="B125" s="1" t="n">
        <v>43669</v>
      </c>
      <c r="C125" s="1" t="n">
        <v>45638</v>
      </c>
      <c r="D125" t="inlineStr">
        <is>
          <t>KALMAR LÄN</t>
        </is>
      </c>
      <c r="E125" t="inlineStr">
        <is>
          <t>OSKARSHAMN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36845-2019</t>
        </is>
      </c>
      <c r="B126" s="1" t="n">
        <v>43675</v>
      </c>
      <c r="C126" s="1" t="n">
        <v>45638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36865-2019</t>
        </is>
      </c>
      <c r="B127" s="1" t="n">
        <v>43675</v>
      </c>
      <c r="C127" s="1" t="n">
        <v>45638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36896-2019</t>
        </is>
      </c>
      <c r="B128" s="1" t="n">
        <v>43675</v>
      </c>
      <c r="C128" s="1" t="n">
        <v>45638</v>
      </c>
      <c r="D128" t="inlineStr">
        <is>
          <t>KALMAR LÄN</t>
        </is>
      </c>
      <c r="E128" t="inlineStr">
        <is>
          <t>OSKARSHAMN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36860-2019</t>
        </is>
      </c>
      <c r="B129" s="1" t="n">
        <v>43675</v>
      </c>
      <c r="C129" s="1" t="n">
        <v>45638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36861-2019</t>
        </is>
      </c>
      <c r="B130" s="1" t="n">
        <v>43675</v>
      </c>
      <c r="C130" s="1" t="n">
        <v>45638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37025-2019</t>
        </is>
      </c>
      <c r="B131" s="1" t="n">
        <v>43676</v>
      </c>
      <c r="C131" s="1" t="n">
        <v>45638</v>
      </c>
      <c r="D131" t="inlineStr">
        <is>
          <t>KALMAR LÄN</t>
        </is>
      </c>
      <c r="E131" t="inlineStr">
        <is>
          <t>OSKARSHAMN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40865-2019</t>
        </is>
      </c>
      <c r="B132" s="1" t="n">
        <v>43693</v>
      </c>
      <c r="C132" s="1" t="n">
        <v>45638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40390-2019</t>
        </is>
      </c>
      <c r="B133" s="1" t="n">
        <v>43696</v>
      </c>
      <c r="C133" s="1" t="n">
        <v>45638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41282-2019</t>
        </is>
      </c>
      <c r="B134" s="1" t="n">
        <v>43698</v>
      </c>
      <c r="C134" s="1" t="n">
        <v>45638</v>
      </c>
      <c r="D134" t="inlineStr">
        <is>
          <t>KALMAR LÄN</t>
        </is>
      </c>
      <c r="E134" t="inlineStr">
        <is>
          <t>OSKARSHAMN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41313-2019</t>
        </is>
      </c>
      <c r="B135" s="1" t="n">
        <v>43698</v>
      </c>
      <c r="C135" s="1" t="n">
        <v>45638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41397-2019</t>
        </is>
      </c>
      <c r="B136" s="1" t="n">
        <v>43698</v>
      </c>
      <c r="C136" s="1" t="n">
        <v>45638</v>
      </c>
      <c r="D136" t="inlineStr">
        <is>
          <t>KALMAR LÄN</t>
        </is>
      </c>
      <c r="E136" t="inlineStr">
        <is>
          <t>OSKARSHAMN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41402-2019</t>
        </is>
      </c>
      <c r="B137" s="1" t="n">
        <v>43698</v>
      </c>
      <c r="C137" s="1" t="n">
        <v>45638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41573-2019</t>
        </is>
      </c>
      <c r="B138" s="1" t="n">
        <v>43699</v>
      </c>
      <c r="C138" s="1" t="n">
        <v>45638</v>
      </c>
      <c r="D138" t="inlineStr">
        <is>
          <t>KALMAR LÄN</t>
        </is>
      </c>
      <c r="E138" t="inlineStr">
        <is>
          <t>OSKARSHAMN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42344-2019</t>
        </is>
      </c>
      <c r="B139" s="1" t="n">
        <v>43703</v>
      </c>
      <c r="C139" s="1" t="n">
        <v>45638</v>
      </c>
      <c r="D139" t="inlineStr">
        <is>
          <t>KALMAR LÄN</t>
        </is>
      </c>
      <c r="E139" t="inlineStr">
        <is>
          <t>OSKARSHAMN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43218-2019</t>
        </is>
      </c>
      <c r="B140" s="1" t="n">
        <v>43706</v>
      </c>
      <c r="C140" s="1" t="n">
        <v>45638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43839-2019</t>
        </is>
      </c>
      <c r="B141" s="1" t="n">
        <v>43707</v>
      </c>
      <c r="C141" s="1" t="n">
        <v>45638</v>
      </c>
      <c r="D141" t="inlineStr">
        <is>
          <t>KALMAR LÄN</t>
        </is>
      </c>
      <c r="E141" t="inlineStr">
        <is>
          <t>OSKARSHAMN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43980-2019</t>
        </is>
      </c>
      <c r="B142" s="1" t="n">
        <v>43709</v>
      </c>
      <c r="C142" s="1" t="n">
        <v>45638</v>
      </c>
      <c r="D142" t="inlineStr">
        <is>
          <t>KALMAR LÄN</t>
        </is>
      </c>
      <c r="E142" t="inlineStr">
        <is>
          <t>OSKARSHAMN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44924-2019</t>
        </is>
      </c>
      <c r="B143" s="1" t="n">
        <v>43713</v>
      </c>
      <c r="C143" s="1" t="n">
        <v>45638</v>
      </c>
      <c r="D143" t="inlineStr">
        <is>
          <t>KALMAR LÄN</t>
        </is>
      </c>
      <c r="E143" t="inlineStr">
        <is>
          <t>OSKARSHAMN</t>
        </is>
      </c>
      <c r="G143" t="n">
        <v>19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46175-2019</t>
        </is>
      </c>
      <c r="B144" s="1" t="n">
        <v>43718</v>
      </c>
      <c r="C144" s="1" t="n">
        <v>45638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46614-2019</t>
        </is>
      </c>
      <c r="B145" s="1" t="n">
        <v>43719</v>
      </c>
      <c r="C145" s="1" t="n">
        <v>45638</v>
      </c>
      <c r="D145" t="inlineStr">
        <is>
          <t>KALMAR LÄN</t>
        </is>
      </c>
      <c r="E145" t="inlineStr">
        <is>
          <t>OSKARSHAMN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47353-2019</t>
        </is>
      </c>
      <c r="B146" s="1" t="n">
        <v>43721</v>
      </c>
      <c r="C146" s="1" t="n">
        <v>45638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48367-2019</t>
        </is>
      </c>
      <c r="B147" s="1" t="n">
        <v>43726</v>
      </c>
      <c r="C147" s="1" t="n">
        <v>45638</v>
      </c>
      <c r="D147" t="inlineStr">
        <is>
          <t>KALMAR LÄN</t>
        </is>
      </c>
      <c r="E147" t="inlineStr">
        <is>
          <t>OSKARSHAMN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48163-2019</t>
        </is>
      </c>
      <c r="B148" s="1" t="n">
        <v>43726</v>
      </c>
      <c r="C148" s="1" t="n">
        <v>45638</v>
      </c>
      <c r="D148" t="inlineStr">
        <is>
          <t>KALMAR LÄN</t>
        </is>
      </c>
      <c r="E148" t="inlineStr">
        <is>
          <t>OSKARSHAMN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51096-2019</t>
        </is>
      </c>
      <c r="B149" s="1" t="n">
        <v>43732</v>
      </c>
      <c r="C149" s="1" t="n">
        <v>45638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50167-2019</t>
        </is>
      </c>
      <c r="B150" s="1" t="n">
        <v>43734</v>
      </c>
      <c r="C150" s="1" t="n">
        <v>45638</v>
      </c>
      <c r="D150" t="inlineStr">
        <is>
          <t>KALMAR LÄN</t>
        </is>
      </c>
      <c r="E150" t="inlineStr">
        <is>
          <t>OSKARSHAMN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50629-2019</t>
        </is>
      </c>
      <c r="B151" s="1" t="n">
        <v>43737</v>
      </c>
      <c r="C151" s="1" t="n">
        <v>45638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52052-2019</t>
        </is>
      </c>
      <c r="B152" s="1" t="n">
        <v>43742</v>
      </c>
      <c r="C152" s="1" t="n">
        <v>45638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54099-2019</t>
        </is>
      </c>
      <c r="B153" s="1" t="n">
        <v>43745</v>
      </c>
      <c r="C153" s="1" t="n">
        <v>45638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53702-2019</t>
        </is>
      </c>
      <c r="B154" s="1" t="n">
        <v>43749</v>
      </c>
      <c r="C154" s="1" t="n">
        <v>45638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53581-2019</t>
        </is>
      </c>
      <c r="B155" s="1" t="n">
        <v>43749</v>
      </c>
      <c r="C155" s="1" t="n">
        <v>45638</v>
      </c>
      <c r="D155" t="inlineStr">
        <is>
          <t>KALMAR LÄN</t>
        </is>
      </c>
      <c r="E155" t="inlineStr">
        <is>
          <t>OSKARSHAMN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53705-2019</t>
        </is>
      </c>
      <c r="B156" s="1" t="n">
        <v>43749</v>
      </c>
      <c r="C156" s="1" t="n">
        <v>45638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55409-2019</t>
        </is>
      </c>
      <c r="B157" s="1" t="n">
        <v>43758</v>
      </c>
      <c r="C157" s="1" t="n">
        <v>45638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56050-2019</t>
        </is>
      </c>
      <c r="B158" s="1" t="n">
        <v>43759</v>
      </c>
      <c r="C158" s="1" t="n">
        <v>45638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56049-2019</t>
        </is>
      </c>
      <c r="B159" s="1" t="n">
        <v>43759</v>
      </c>
      <c r="C159" s="1" t="n">
        <v>45638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57601-2019</t>
        </is>
      </c>
      <c r="B160" s="1" t="n">
        <v>43761</v>
      </c>
      <c r="C160" s="1" t="n">
        <v>45638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57525-2019</t>
        </is>
      </c>
      <c r="B161" s="1" t="n">
        <v>43767</v>
      </c>
      <c r="C161" s="1" t="n">
        <v>45638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58888-2019</t>
        </is>
      </c>
      <c r="B162" s="1" t="n">
        <v>43769</v>
      </c>
      <c r="C162" s="1" t="n">
        <v>45638</v>
      </c>
      <c r="D162" t="inlineStr">
        <is>
          <t>KALMAR LÄN</t>
        </is>
      </c>
      <c r="E162" t="inlineStr">
        <is>
          <t>OSKARSHAMN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59214-2019</t>
        </is>
      </c>
      <c r="B163" s="1" t="n">
        <v>43774</v>
      </c>
      <c r="C163" s="1" t="n">
        <v>45638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58948-2019</t>
        </is>
      </c>
      <c r="B164" s="1" t="n">
        <v>43774</v>
      </c>
      <c r="C164" s="1" t="n">
        <v>45638</v>
      </c>
      <c r="D164" t="inlineStr">
        <is>
          <t>KALMAR LÄN</t>
        </is>
      </c>
      <c r="E164" t="inlineStr">
        <is>
          <t>OSKARSHAMN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59341-2019</t>
        </is>
      </c>
      <c r="B165" s="1" t="n">
        <v>43775</v>
      </c>
      <c r="C165" s="1" t="n">
        <v>45638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59369-2019</t>
        </is>
      </c>
      <c r="B166" s="1" t="n">
        <v>43775</v>
      </c>
      <c r="C166" s="1" t="n">
        <v>45638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60459-2019</t>
        </is>
      </c>
      <c r="B167" s="1" t="n">
        <v>43780</v>
      </c>
      <c r="C167" s="1" t="n">
        <v>45638</v>
      </c>
      <c r="D167" t="inlineStr">
        <is>
          <t>KALMAR LÄN</t>
        </is>
      </c>
      <c r="E167" t="inlineStr">
        <is>
          <t>OSKARSHAMN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60463-2019</t>
        </is>
      </c>
      <c r="B168" s="1" t="n">
        <v>43780</v>
      </c>
      <c r="C168" s="1" t="n">
        <v>45638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60454-2019</t>
        </is>
      </c>
      <c r="B169" s="1" t="n">
        <v>43780</v>
      </c>
      <c r="C169" s="1" t="n">
        <v>45638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61248-2019</t>
        </is>
      </c>
      <c r="B170" s="1" t="n">
        <v>43783</v>
      </c>
      <c r="C170" s="1" t="n">
        <v>45638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61254-2019</t>
        </is>
      </c>
      <c r="B171" s="1" t="n">
        <v>43783</v>
      </c>
      <c r="C171" s="1" t="n">
        <v>45638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62090-2019</t>
        </is>
      </c>
      <c r="B172" s="1" t="n">
        <v>43787</v>
      </c>
      <c r="C172" s="1" t="n">
        <v>45638</v>
      </c>
      <c r="D172" t="inlineStr">
        <is>
          <t>KALMAR LÄN</t>
        </is>
      </c>
      <c r="E172" t="inlineStr">
        <is>
          <t>OSKARSHAMN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61993-2019</t>
        </is>
      </c>
      <c r="B173" s="1" t="n">
        <v>43787</v>
      </c>
      <c r="C173" s="1" t="n">
        <v>45638</v>
      </c>
      <c r="D173" t="inlineStr">
        <is>
          <t>KALMAR LÄN</t>
        </is>
      </c>
      <c r="E173" t="inlineStr">
        <is>
          <t>OSKARSHAMN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61901-2019</t>
        </is>
      </c>
      <c r="B174" s="1" t="n">
        <v>43787</v>
      </c>
      <c r="C174" s="1" t="n">
        <v>45638</v>
      </c>
      <c r="D174" t="inlineStr">
        <is>
          <t>KALMAR LÄN</t>
        </is>
      </c>
      <c r="E174" t="inlineStr">
        <is>
          <t>OSKARSHAMN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64194-2019</t>
        </is>
      </c>
      <c r="B175" s="1" t="n">
        <v>43797</v>
      </c>
      <c r="C175" s="1" t="n">
        <v>45638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64302-2019</t>
        </is>
      </c>
      <c r="B176" s="1" t="n">
        <v>43797</v>
      </c>
      <c r="C176" s="1" t="n">
        <v>45638</v>
      </c>
      <c r="D176" t="inlineStr">
        <is>
          <t>KALMAR LÄN</t>
        </is>
      </c>
      <c r="E176" t="inlineStr">
        <is>
          <t>OSKARSHAMN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64870-2019</t>
        </is>
      </c>
      <c r="B177" s="1" t="n">
        <v>43801</v>
      </c>
      <c r="C177" s="1" t="n">
        <v>45638</v>
      </c>
      <c r="D177" t="inlineStr">
        <is>
          <t>KALMAR LÄN</t>
        </is>
      </c>
      <c r="E177" t="inlineStr">
        <is>
          <t>OSKARSHAMN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65846-2019</t>
        </is>
      </c>
      <c r="B178" s="1" t="n">
        <v>43805</v>
      </c>
      <c r="C178" s="1" t="n">
        <v>45638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66611-2019</t>
        </is>
      </c>
      <c r="B179" s="1" t="n">
        <v>43809</v>
      </c>
      <c r="C179" s="1" t="n">
        <v>45638</v>
      </c>
      <c r="D179" t="inlineStr">
        <is>
          <t>KALMAR LÄN</t>
        </is>
      </c>
      <c r="E179" t="inlineStr">
        <is>
          <t>OSKARSHAMN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66621-2019</t>
        </is>
      </c>
      <c r="B180" s="1" t="n">
        <v>43809</v>
      </c>
      <c r="C180" s="1" t="n">
        <v>45638</v>
      </c>
      <c r="D180" t="inlineStr">
        <is>
          <t>KALMAR LÄN</t>
        </is>
      </c>
      <c r="E180" t="inlineStr">
        <is>
          <t>OSKARSHAMN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66617-2019</t>
        </is>
      </c>
      <c r="B181" s="1" t="n">
        <v>43809</v>
      </c>
      <c r="C181" s="1" t="n">
        <v>45638</v>
      </c>
      <c r="D181" t="inlineStr">
        <is>
          <t>KALMAR LÄN</t>
        </is>
      </c>
      <c r="E181" t="inlineStr">
        <is>
          <t>OSKARSHAMN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66626-2019</t>
        </is>
      </c>
      <c r="B182" s="1" t="n">
        <v>43809</v>
      </c>
      <c r="C182" s="1" t="n">
        <v>45638</v>
      </c>
      <c r="D182" t="inlineStr">
        <is>
          <t>KALMAR LÄN</t>
        </is>
      </c>
      <c r="E182" t="inlineStr">
        <is>
          <t>OSKARSHAMN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66619-2019</t>
        </is>
      </c>
      <c r="B183" s="1" t="n">
        <v>43809</v>
      </c>
      <c r="C183" s="1" t="n">
        <v>45638</v>
      </c>
      <c r="D183" t="inlineStr">
        <is>
          <t>KALMAR LÄN</t>
        </is>
      </c>
      <c r="E183" t="inlineStr">
        <is>
          <t>OSKARSHAMN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66734-2019</t>
        </is>
      </c>
      <c r="B184" s="1" t="n">
        <v>43809</v>
      </c>
      <c r="C184" s="1" t="n">
        <v>45638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66768-2019</t>
        </is>
      </c>
      <c r="B185" s="1" t="n">
        <v>43809</v>
      </c>
      <c r="C185" s="1" t="n">
        <v>45638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66965-2019</t>
        </is>
      </c>
      <c r="B186" s="1" t="n">
        <v>43810</v>
      </c>
      <c r="C186" s="1" t="n">
        <v>45638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67717-2019</t>
        </is>
      </c>
      <c r="B187" s="1" t="n">
        <v>43810</v>
      </c>
      <c r="C187" s="1" t="n">
        <v>45638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67799-2019</t>
        </is>
      </c>
      <c r="B188" s="1" t="n">
        <v>43815</v>
      </c>
      <c r="C188" s="1" t="n">
        <v>45638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68528-2019</t>
        </is>
      </c>
      <c r="B189" s="1" t="n">
        <v>43818</v>
      </c>
      <c r="C189" s="1" t="n">
        <v>45638</v>
      </c>
      <c r="D189" t="inlineStr">
        <is>
          <t>KALMAR LÄN</t>
        </is>
      </c>
      <c r="E189" t="inlineStr">
        <is>
          <t>OSKARSHAMN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68527-2019</t>
        </is>
      </c>
      <c r="B190" s="1" t="n">
        <v>43818</v>
      </c>
      <c r="C190" s="1" t="n">
        <v>45638</v>
      </c>
      <c r="D190" t="inlineStr">
        <is>
          <t>KALMAR LÄN</t>
        </is>
      </c>
      <c r="E190" t="inlineStr">
        <is>
          <t>OSKARSHAMN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245-2020</t>
        </is>
      </c>
      <c r="B191" s="1" t="n">
        <v>43835</v>
      </c>
      <c r="C191" s="1" t="n">
        <v>45638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370-2020</t>
        </is>
      </c>
      <c r="B192" s="1" t="n">
        <v>43837</v>
      </c>
      <c r="C192" s="1" t="n">
        <v>45638</v>
      </c>
      <c r="D192" t="inlineStr">
        <is>
          <t>KALMAR LÄN</t>
        </is>
      </c>
      <c r="E192" t="inlineStr">
        <is>
          <t>OSKARSHAMN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1308-2020</t>
        </is>
      </c>
      <c r="B193" s="1" t="n">
        <v>43840</v>
      </c>
      <c r="C193" s="1" t="n">
        <v>45638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1536-2020</t>
        </is>
      </c>
      <c r="B194" s="1" t="n">
        <v>43843</v>
      </c>
      <c r="C194" s="1" t="n">
        <v>45638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1537-2020</t>
        </is>
      </c>
      <c r="B195" s="1" t="n">
        <v>43843</v>
      </c>
      <c r="C195" s="1" t="n">
        <v>45638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2130-2020</t>
        </is>
      </c>
      <c r="B196" s="1" t="n">
        <v>43846</v>
      </c>
      <c r="C196" s="1" t="n">
        <v>45638</v>
      </c>
      <c r="D196" t="inlineStr">
        <is>
          <t>KALMAR LÄN</t>
        </is>
      </c>
      <c r="E196" t="inlineStr">
        <is>
          <t>OSKARSHAMN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3153-2020</t>
        </is>
      </c>
      <c r="B197" s="1" t="n">
        <v>43851</v>
      </c>
      <c r="C197" s="1" t="n">
        <v>45638</v>
      </c>
      <c r="D197" t="inlineStr">
        <is>
          <t>KALMAR LÄN</t>
        </is>
      </c>
      <c r="E197" t="inlineStr">
        <is>
          <t>OSKARSHAMN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3148-2020</t>
        </is>
      </c>
      <c r="B198" s="1" t="n">
        <v>43851</v>
      </c>
      <c r="C198" s="1" t="n">
        <v>45638</v>
      </c>
      <c r="D198" t="inlineStr">
        <is>
          <t>KALMAR LÄN</t>
        </is>
      </c>
      <c r="E198" t="inlineStr">
        <is>
          <t>OSKARSHAMN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3151-2020</t>
        </is>
      </c>
      <c r="B199" s="1" t="n">
        <v>43851</v>
      </c>
      <c r="C199" s="1" t="n">
        <v>45638</v>
      </c>
      <c r="D199" t="inlineStr">
        <is>
          <t>KALMAR LÄN</t>
        </is>
      </c>
      <c r="E199" t="inlineStr">
        <is>
          <t>OSKARSHAMN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3143-2020</t>
        </is>
      </c>
      <c r="B200" s="1" t="n">
        <v>43851</v>
      </c>
      <c r="C200" s="1" t="n">
        <v>45638</v>
      </c>
      <c r="D200" t="inlineStr">
        <is>
          <t>KALMAR LÄN</t>
        </is>
      </c>
      <c r="E200" t="inlineStr">
        <is>
          <t>OSKARSHAMN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3546-2020</t>
        </is>
      </c>
      <c r="B201" s="1" t="n">
        <v>43853</v>
      </c>
      <c r="C201" s="1" t="n">
        <v>45638</v>
      </c>
      <c r="D201" t="inlineStr">
        <is>
          <t>KALMAR LÄN</t>
        </is>
      </c>
      <c r="E201" t="inlineStr">
        <is>
          <t>OSKARSHAMN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4653-2020</t>
        </is>
      </c>
      <c r="B202" s="1" t="n">
        <v>43858</v>
      </c>
      <c r="C202" s="1" t="n">
        <v>45638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5040-2020</t>
        </is>
      </c>
      <c r="B203" s="1" t="n">
        <v>43859</v>
      </c>
      <c r="C203" s="1" t="n">
        <v>45638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5017-2020</t>
        </is>
      </c>
      <c r="B204" s="1" t="n">
        <v>43859</v>
      </c>
      <c r="C204" s="1" t="n">
        <v>45638</v>
      </c>
      <c r="D204" t="inlineStr">
        <is>
          <t>KALMAR LÄN</t>
        </is>
      </c>
      <c r="E204" t="inlineStr">
        <is>
          <t>OSKARSHAMN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5372-2020</t>
        </is>
      </c>
      <c r="B205" s="1" t="n">
        <v>43860</v>
      </c>
      <c r="C205" s="1" t="n">
        <v>45638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5391-2020</t>
        </is>
      </c>
      <c r="B206" s="1" t="n">
        <v>43860</v>
      </c>
      <c r="C206" s="1" t="n">
        <v>45638</v>
      </c>
      <c r="D206" t="inlineStr">
        <is>
          <t>KALMAR LÄN</t>
        </is>
      </c>
      <c r="E206" t="inlineStr">
        <is>
          <t>OSKARSHAMN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5584-2020</t>
        </is>
      </c>
      <c r="B207" s="1" t="n">
        <v>43861</v>
      </c>
      <c r="C207" s="1" t="n">
        <v>45638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5570-2020</t>
        </is>
      </c>
      <c r="B208" s="1" t="n">
        <v>43861</v>
      </c>
      <c r="C208" s="1" t="n">
        <v>45638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6087-2020</t>
        </is>
      </c>
      <c r="B209" s="1" t="n">
        <v>43864</v>
      </c>
      <c r="C209" s="1" t="n">
        <v>45638</v>
      </c>
      <c r="D209" t="inlineStr">
        <is>
          <t>KALMAR LÄN</t>
        </is>
      </c>
      <c r="E209" t="inlineStr">
        <is>
          <t>OSKARSHAMN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6088-2020</t>
        </is>
      </c>
      <c r="B210" s="1" t="n">
        <v>43864</v>
      </c>
      <c r="C210" s="1" t="n">
        <v>45638</v>
      </c>
      <c r="D210" t="inlineStr">
        <is>
          <t>KALMAR LÄN</t>
        </is>
      </c>
      <c r="E210" t="inlineStr">
        <is>
          <t>OSKARSHAMN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7838-2020</t>
        </is>
      </c>
      <c r="B211" s="1" t="n">
        <v>43873</v>
      </c>
      <c r="C211" s="1" t="n">
        <v>45638</v>
      </c>
      <c r="D211" t="inlineStr">
        <is>
          <t>KALMAR LÄN</t>
        </is>
      </c>
      <c r="E211" t="inlineStr">
        <is>
          <t>OSKARSHAMN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8508-2020</t>
        </is>
      </c>
      <c r="B212" s="1" t="n">
        <v>43875</v>
      </c>
      <c r="C212" s="1" t="n">
        <v>45638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8506-2020</t>
        </is>
      </c>
      <c r="B213" s="1" t="n">
        <v>43875</v>
      </c>
      <c r="C213" s="1" t="n">
        <v>45638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8505-2020</t>
        </is>
      </c>
      <c r="B214" s="1" t="n">
        <v>43875</v>
      </c>
      <c r="C214" s="1" t="n">
        <v>45638</v>
      </c>
      <c r="D214" t="inlineStr">
        <is>
          <t>KALMAR LÄN</t>
        </is>
      </c>
      <c r="E214" t="inlineStr">
        <is>
          <t>OSKARSHAMN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8507-2020</t>
        </is>
      </c>
      <c r="B215" s="1" t="n">
        <v>43875</v>
      </c>
      <c r="C215" s="1" t="n">
        <v>45638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8828-2020</t>
        </is>
      </c>
      <c r="B216" s="1" t="n">
        <v>43878</v>
      </c>
      <c r="C216" s="1" t="n">
        <v>45638</v>
      </c>
      <c r="D216" t="inlineStr">
        <is>
          <t>KALMAR LÄN</t>
        </is>
      </c>
      <c r="E216" t="inlineStr">
        <is>
          <t>OSKARSHAMN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9377-2020</t>
        </is>
      </c>
      <c r="B217" s="1" t="n">
        <v>43880</v>
      </c>
      <c r="C217" s="1" t="n">
        <v>45638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9809-2020</t>
        </is>
      </c>
      <c r="B218" s="1" t="n">
        <v>43881</v>
      </c>
      <c r="C218" s="1" t="n">
        <v>45638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9844-2020</t>
        </is>
      </c>
      <c r="B219" s="1" t="n">
        <v>43882</v>
      </c>
      <c r="C219" s="1" t="n">
        <v>45638</v>
      </c>
      <c r="D219" t="inlineStr">
        <is>
          <t>KALMAR LÄN</t>
        </is>
      </c>
      <c r="E219" t="inlineStr">
        <is>
          <t>OSKARSHAMN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9839-2020</t>
        </is>
      </c>
      <c r="B220" s="1" t="n">
        <v>43882</v>
      </c>
      <c r="C220" s="1" t="n">
        <v>45638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9855-2020</t>
        </is>
      </c>
      <c r="B221" s="1" t="n">
        <v>43882</v>
      </c>
      <c r="C221" s="1" t="n">
        <v>45638</v>
      </c>
      <c r="D221" t="inlineStr">
        <is>
          <t>KALMAR LÄN</t>
        </is>
      </c>
      <c r="E221" t="inlineStr">
        <is>
          <t>OSKARSHAMN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9849-2020</t>
        </is>
      </c>
      <c r="B222" s="1" t="n">
        <v>43882</v>
      </c>
      <c r="C222" s="1" t="n">
        <v>45638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10068-2020</t>
        </is>
      </c>
      <c r="B223" s="1" t="n">
        <v>43883</v>
      </c>
      <c r="C223" s="1" t="n">
        <v>45638</v>
      </c>
      <c r="D223" t="inlineStr">
        <is>
          <t>KALMAR LÄN</t>
        </is>
      </c>
      <c r="E223" t="inlineStr">
        <is>
          <t>OSKARSHAMN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10161-2020</t>
        </is>
      </c>
      <c r="B224" s="1" t="n">
        <v>43886</v>
      </c>
      <c r="C224" s="1" t="n">
        <v>45638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12616-2020</t>
        </is>
      </c>
      <c r="B225" s="1" t="n">
        <v>43899</v>
      </c>
      <c r="C225" s="1" t="n">
        <v>45638</v>
      </c>
      <c r="D225" t="inlineStr">
        <is>
          <t>KALMAR LÄN</t>
        </is>
      </c>
      <c r="E225" t="inlineStr">
        <is>
          <t>OSKARSHAMN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12789-2020</t>
        </is>
      </c>
      <c r="B226" s="1" t="n">
        <v>43899</v>
      </c>
      <c r="C226" s="1" t="n">
        <v>45638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13228-2020</t>
        </is>
      </c>
      <c r="B227" s="1" t="n">
        <v>43901</v>
      </c>
      <c r="C227" s="1" t="n">
        <v>45638</v>
      </c>
      <c r="D227" t="inlineStr">
        <is>
          <t>KALMAR LÄN</t>
        </is>
      </c>
      <c r="E227" t="inlineStr">
        <is>
          <t>OSKARSHAMN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13227-2020</t>
        </is>
      </c>
      <c r="B228" s="1" t="n">
        <v>43901</v>
      </c>
      <c r="C228" s="1" t="n">
        <v>45638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14131-2020</t>
        </is>
      </c>
      <c r="B229" s="1" t="n">
        <v>43907</v>
      </c>
      <c r="C229" s="1" t="n">
        <v>45638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16486-2020</t>
        </is>
      </c>
      <c r="B230" s="1" t="n">
        <v>43920</v>
      </c>
      <c r="C230" s="1" t="n">
        <v>45638</v>
      </c>
      <c r="D230" t="inlineStr">
        <is>
          <t>KALMAR LÄN</t>
        </is>
      </c>
      <c r="E230" t="inlineStr">
        <is>
          <t>OSKARSHAMN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17562-2020</t>
        </is>
      </c>
      <c r="B231" s="1" t="n">
        <v>43921</v>
      </c>
      <c r="C231" s="1" t="n">
        <v>45638</v>
      </c>
      <c r="D231" t="inlineStr">
        <is>
          <t>KALMAR LÄN</t>
        </is>
      </c>
      <c r="E231" t="inlineStr">
        <is>
          <t>OSKARSHAMN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18230-2020</t>
        </is>
      </c>
      <c r="B232" s="1" t="n">
        <v>43927</v>
      </c>
      <c r="C232" s="1" t="n">
        <v>45638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18711-2020</t>
        </is>
      </c>
      <c r="B233" s="1" t="n">
        <v>43930</v>
      </c>
      <c r="C233" s="1" t="n">
        <v>45638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19261-2020</t>
        </is>
      </c>
      <c r="B234" s="1" t="n">
        <v>43937</v>
      </c>
      <c r="C234" s="1" t="n">
        <v>45638</v>
      </c>
      <c r="D234" t="inlineStr">
        <is>
          <t>KALMAR LÄN</t>
        </is>
      </c>
      <c r="E234" t="inlineStr">
        <is>
          <t>OSKARSHAMN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19467-2020</t>
        </is>
      </c>
      <c r="B235" s="1" t="n">
        <v>43938</v>
      </c>
      <c r="C235" s="1" t="n">
        <v>45638</v>
      </c>
      <c r="D235" t="inlineStr">
        <is>
          <t>KALMAR LÄN</t>
        </is>
      </c>
      <c r="E235" t="inlineStr">
        <is>
          <t>OSKARSHAMN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20348-2020</t>
        </is>
      </c>
      <c r="B236" s="1" t="n">
        <v>43945</v>
      </c>
      <c r="C236" s="1" t="n">
        <v>45638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21202-2020</t>
        </is>
      </c>
      <c r="B237" s="1" t="n">
        <v>43951</v>
      </c>
      <c r="C237" s="1" t="n">
        <v>45638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21334-2020</t>
        </is>
      </c>
      <c r="B238" s="1" t="n">
        <v>43955</v>
      </c>
      <c r="C238" s="1" t="n">
        <v>45638</v>
      </c>
      <c r="D238" t="inlineStr">
        <is>
          <t>KALMAR LÄN</t>
        </is>
      </c>
      <c r="E238" t="inlineStr">
        <is>
          <t>OSKARSHAMN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21345-2020</t>
        </is>
      </c>
      <c r="B239" s="1" t="n">
        <v>43955</v>
      </c>
      <c r="C239" s="1" t="n">
        <v>45638</v>
      </c>
      <c r="D239" t="inlineStr">
        <is>
          <t>KALMAR LÄN</t>
        </is>
      </c>
      <c r="E239" t="inlineStr">
        <is>
          <t>OSKARSHAMN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22201-2020</t>
        </is>
      </c>
      <c r="B240" s="1" t="n">
        <v>43962</v>
      </c>
      <c r="C240" s="1" t="n">
        <v>45638</v>
      </c>
      <c r="D240" t="inlineStr">
        <is>
          <t>KALMAR LÄN</t>
        </is>
      </c>
      <c r="E240" t="inlineStr">
        <is>
          <t>OSKARSHAMN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23088-2020</t>
        </is>
      </c>
      <c r="B241" s="1" t="n">
        <v>43965</v>
      </c>
      <c r="C241" s="1" t="n">
        <v>45638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23718-2020</t>
        </is>
      </c>
      <c r="B242" s="1" t="n">
        <v>43970</v>
      </c>
      <c r="C242" s="1" t="n">
        <v>45638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23867-2020</t>
        </is>
      </c>
      <c r="B243" s="1" t="n">
        <v>43971</v>
      </c>
      <c r="C243" s="1" t="n">
        <v>45638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24325-2020</t>
        </is>
      </c>
      <c r="B244" s="1" t="n">
        <v>43976</v>
      </c>
      <c r="C244" s="1" t="n">
        <v>45638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24316-2020</t>
        </is>
      </c>
      <c r="B245" s="1" t="n">
        <v>43976</v>
      </c>
      <c r="C245" s="1" t="n">
        <v>45638</v>
      </c>
      <c r="D245" t="inlineStr">
        <is>
          <t>KALMAR LÄN</t>
        </is>
      </c>
      <c r="E245" t="inlineStr">
        <is>
          <t>OSKARSHAMN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24324-2020</t>
        </is>
      </c>
      <c r="B246" s="1" t="n">
        <v>43976</v>
      </c>
      <c r="C246" s="1" t="n">
        <v>45638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24320-2020</t>
        </is>
      </c>
      <c r="B247" s="1" t="n">
        <v>43976</v>
      </c>
      <c r="C247" s="1" t="n">
        <v>45638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24902-2020</t>
        </is>
      </c>
      <c r="B248" s="1" t="n">
        <v>43979</v>
      </c>
      <c r="C248" s="1" t="n">
        <v>45638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28015-2020</t>
        </is>
      </c>
      <c r="B249" s="1" t="n">
        <v>43993</v>
      </c>
      <c r="C249" s="1" t="n">
        <v>45638</v>
      </c>
      <c r="D249" t="inlineStr">
        <is>
          <t>KALMAR LÄN</t>
        </is>
      </c>
      <c r="E249" t="inlineStr">
        <is>
          <t>OSKARSHAMN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28019-2020</t>
        </is>
      </c>
      <c r="B250" s="1" t="n">
        <v>43993</v>
      </c>
      <c r="C250" s="1" t="n">
        <v>45638</v>
      </c>
      <c r="D250" t="inlineStr">
        <is>
          <t>KALMAR LÄN</t>
        </is>
      </c>
      <c r="E250" t="inlineStr">
        <is>
          <t>OSKARSHAMN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29086-2020</t>
        </is>
      </c>
      <c r="B251" s="1" t="n">
        <v>44002</v>
      </c>
      <c r="C251" s="1" t="n">
        <v>45638</v>
      </c>
      <c r="D251" t="inlineStr">
        <is>
          <t>KALMAR LÄN</t>
        </is>
      </c>
      <c r="E251" t="inlineStr">
        <is>
          <t>OSKARSHAMN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30461-2020</t>
        </is>
      </c>
      <c r="B252" s="1" t="n">
        <v>44007</v>
      </c>
      <c r="C252" s="1" t="n">
        <v>45638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30833-2020</t>
        </is>
      </c>
      <c r="B253" s="1" t="n">
        <v>44011</v>
      </c>
      <c r="C253" s="1" t="n">
        <v>45638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31589-2020</t>
        </is>
      </c>
      <c r="B254" s="1" t="n">
        <v>44012</v>
      </c>
      <c r="C254" s="1" t="n">
        <v>45638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31678-2020</t>
        </is>
      </c>
      <c r="B255" s="1" t="n">
        <v>44014</v>
      </c>
      <c r="C255" s="1" t="n">
        <v>45638</v>
      </c>
      <c r="D255" t="inlineStr">
        <is>
          <t>KALMAR LÄN</t>
        </is>
      </c>
      <c r="E255" t="inlineStr">
        <is>
          <t>OSKARSHAMN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31693-2020</t>
        </is>
      </c>
      <c r="B256" s="1" t="n">
        <v>44014</v>
      </c>
      <c r="C256" s="1" t="n">
        <v>45638</v>
      </c>
      <c r="D256" t="inlineStr">
        <is>
          <t>KALMAR LÄN</t>
        </is>
      </c>
      <c r="E256" t="inlineStr">
        <is>
          <t>OSKARSHAMN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31702-2020</t>
        </is>
      </c>
      <c r="B257" s="1" t="n">
        <v>44014</v>
      </c>
      <c r="C257" s="1" t="n">
        <v>45638</v>
      </c>
      <c r="D257" t="inlineStr">
        <is>
          <t>KALMAR LÄN</t>
        </is>
      </c>
      <c r="E257" t="inlineStr">
        <is>
          <t>OSKARSHAMN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34022-2020</t>
        </is>
      </c>
      <c r="B258" s="1" t="n">
        <v>44028</v>
      </c>
      <c r="C258" s="1" t="n">
        <v>45638</v>
      </c>
      <c r="D258" t="inlineStr">
        <is>
          <t>KALMAR LÄN</t>
        </is>
      </c>
      <c r="E258" t="inlineStr">
        <is>
          <t>OSKARSHAMN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36815-2020</t>
        </is>
      </c>
      <c r="B259" s="1" t="n">
        <v>44053</v>
      </c>
      <c r="C259" s="1" t="n">
        <v>45638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40571-2020</t>
        </is>
      </c>
      <c r="B260" s="1" t="n">
        <v>44069</v>
      </c>
      <c r="C260" s="1" t="n">
        <v>45638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40733-2020</t>
        </is>
      </c>
      <c r="B261" s="1" t="n">
        <v>44069</v>
      </c>
      <c r="C261" s="1" t="n">
        <v>45638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41151-2020</t>
        </is>
      </c>
      <c r="B262" s="1" t="n">
        <v>44071</v>
      </c>
      <c r="C262" s="1" t="n">
        <v>45638</v>
      </c>
      <c r="D262" t="inlineStr">
        <is>
          <t>KALMAR LÄN</t>
        </is>
      </c>
      <c r="E262" t="inlineStr">
        <is>
          <t>OSKARSHAMN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43168-2020</t>
        </is>
      </c>
      <c r="B263" s="1" t="n">
        <v>44081</v>
      </c>
      <c r="C263" s="1" t="n">
        <v>45638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43346-2020</t>
        </is>
      </c>
      <c r="B264" s="1" t="n">
        <v>44081</v>
      </c>
      <c r="C264" s="1" t="n">
        <v>45638</v>
      </c>
      <c r="D264" t="inlineStr">
        <is>
          <t>KALMAR LÄN</t>
        </is>
      </c>
      <c r="E264" t="inlineStr">
        <is>
          <t>OSKARSHAMN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43472-2020</t>
        </is>
      </c>
      <c r="B265" s="1" t="n">
        <v>44082</v>
      </c>
      <c r="C265" s="1" t="n">
        <v>45638</v>
      </c>
      <c r="D265" t="inlineStr">
        <is>
          <t>KALMAR LÄN</t>
        </is>
      </c>
      <c r="E265" t="inlineStr">
        <is>
          <t>OSKARSHAMN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44184-2020</t>
        </is>
      </c>
      <c r="B266" s="1" t="n">
        <v>44083</v>
      </c>
      <c r="C266" s="1" t="n">
        <v>45638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44182-2020</t>
        </is>
      </c>
      <c r="B267" s="1" t="n">
        <v>44083</v>
      </c>
      <c r="C267" s="1" t="n">
        <v>45638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47746-2020</t>
        </is>
      </c>
      <c r="B268" s="1" t="n">
        <v>44098</v>
      </c>
      <c r="C268" s="1" t="n">
        <v>45638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47703-2020</t>
        </is>
      </c>
      <c r="B269" s="1" t="n">
        <v>44098</v>
      </c>
      <c r="C269" s="1" t="n">
        <v>45638</v>
      </c>
      <c r="D269" t="inlineStr">
        <is>
          <t>KALMAR LÄN</t>
        </is>
      </c>
      <c r="E269" t="inlineStr">
        <is>
          <t>OSKARSHAMN</t>
        </is>
      </c>
      <c r="F269" t="inlineStr">
        <is>
          <t>Kyrkan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47508-2020</t>
        </is>
      </c>
      <c r="B270" s="1" t="n">
        <v>44099</v>
      </c>
      <c r="C270" s="1" t="n">
        <v>45638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48038-2020</t>
        </is>
      </c>
      <c r="B271" s="1" t="n">
        <v>44099</v>
      </c>
      <c r="C271" s="1" t="n">
        <v>45638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48437-2020</t>
        </is>
      </c>
      <c r="B272" s="1" t="n">
        <v>44102</v>
      </c>
      <c r="C272" s="1" t="n">
        <v>45638</v>
      </c>
      <c r="D272" t="inlineStr">
        <is>
          <t>KALMAR LÄN</t>
        </is>
      </c>
      <c r="E272" t="inlineStr">
        <is>
          <t>OSKARSHAMN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48899-2020</t>
        </is>
      </c>
      <c r="B273" s="1" t="n">
        <v>44102</v>
      </c>
      <c r="C273" s="1" t="n">
        <v>45638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48534-2020</t>
        </is>
      </c>
      <c r="B274" s="1" t="n">
        <v>44103</v>
      </c>
      <c r="C274" s="1" t="n">
        <v>45638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48523-2020</t>
        </is>
      </c>
      <c r="B275" s="1" t="n">
        <v>44103</v>
      </c>
      <c r="C275" s="1" t="n">
        <v>45638</v>
      </c>
      <c r="D275" t="inlineStr">
        <is>
          <t>KALMAR LÄN</t>
        </is>
      </c>
      <c r="E275" t="inlineStr">
        <is>
          <t>OSKARSHAMN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48977-2020</t>
        </is>
      </c>
      <c r="B276" s="1" t="n">
        <v>44104</v>
      </c>
      <c r="C276" s="1" t="n">
        <v>45638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49245-2020</t>
        </is>
      </c>
      <c r="B277" s="1" t="n">
        <v>44105</v>
      </c>
      <c r="C277" s="1" t="n">
        <v>45638</v>
      </c>
      <c r="D277" t="inlineStr">
        <is>
          <t>KALMAR LÄN</t>
        </is>
      </c>
      <c r="E277" t="inlineStr">
        <is>
          <t>OSKARSHAMN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49599-2020</t>
        </is>
      </c>
      <c r="B278" s="1" t="n">
        <v>44106</v>
      </c>
      <c r="C278" s="1" t="n">
        <v>45638</v>
      </c>
      <c r="D278" t="inlineStr">
        <is>
          <t>KALMAR LÄN</t>
        </is>
      </c>
      <c r="E278" t="inlineStr">
        <is>
          <t>OSKARSHAMN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49763-2020</t>
        </is>
      </c>
      <c r="B279" s="1" t="n">
        <v>44106</v>
      </c>
      <c r="C279" s="1" t="n">
        <v>45638</v>
      </c>
      <c r="D279" t="inlineStr">
        <is>
          <t>KALMAR LÄN</t>
        </is>
      </c>
      <c r="E279" t="inlineStr">
        <is>
          <t>OSKARSHAMN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51568-2020</t>
        </is>
      </c>
      <c r="B280" s="1" t="n">
        <v>44109</v>
      </c>
      <c r="C280" s="1" t="n">
        <v>45638</v>
      </c>
      <c r="D280" t="inlineStr">
        <is>
          <t>KALMAR LÄN</t>
        </is>
      </c>
      <c r="E280" t="inlineStr">
        <is>
          <t>OSKARSHAMN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50003-2020</t>
        </is>
      </c>
      <c r="B281" s="1" t="n">
        <v>44109</v>
      </c>
      <c r="C281" s="1" t="n">
        <v>45638</v>
      </c>
      <c r="D281" t="inlineStr">
        <is>
          <t>KALMAR LÄN</t>
        </is>
      </c>
      <c r="E281" t="inlineStr">
        <is>
          <t>OSKARSHAMN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50679-2020</t>
        </is>
      </c>
      <c r="B282" s="1" t="n">
        <v>44110</v>
      </c>
      <c r="C282" s="1" t="n">
        <v>45638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52611-2020</t>
        </is>
      </c>
      <c r="B283" s="1" t="n">
        <v>44118</v>
      </c>
      <c r="C283" s="1" t="n">
        <v>45638</v>
      </c>
      <c r="D283" t="inlineStr">
        <is>
          <t>KALMAR LÄN</t>
        </is>
      </c>
      <c r="E283" t="inlineStr">
        <is>
          <t>OSKARSHAMN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54776-2020</t>
        </is>
      </c>
      <c r="B284" s="1" t="n">
        <v>44127</v>
      </c>
      <c r="C284" s="1" t="n">
        <v>45638</v>
      </c>
      <c r="D284" t="inlineStr">
        <is>
          <t>KALMAR LÄN</t>
        </is>
      </c>
      <c r="E284" t="inlineStr">
        <is>
          <t>OSKARSHAMN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54793-2020</t>
        </is>
      </c>
      <c r="B285" s="1" t="n">
        <v>44127</v>
      </c>
      <c r="C285" s="1" t="n">
        <v>45638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54788-2020</t>
        </is>
      </c>
      <c r="B286" s="1" t="n">
        <v>44127</v>
      </c>
      <c r="C286" s="1" t="n">
        <v>45638</v>
      </c>
      <c r="D286" t="inlineStr">
        <is>
          <t>KALMAR LÄN</t>
        </is>
      </c>
      <c r="E286" t="inlineStr">
        <is>
          <t>OSKARSHAMN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55191-2020</t>
        </is>
      </c>
      <c r="B287" s="1" t="n">
        <v>44130</v>
      </c>
      <c r="C287" s="1" t="n">
        <v>45638</v>
      </c>
      <c r="D287" t="inlineStr">
        <is>
          <t>KALMAR LÄN</t>
        </is>
      </c>
      <c r="E287" t="inlineStr">
        <is>
          <t>OSKARSHAMN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55974-2020</t>
        </is>
      </c>
      <c r="B288" s="1" t="n">
        <v>44133</v>
      </c>
      <c r="C288" s="1" t="n">
        <v>45638</v>
      </c>
      <c r="D288" t="inlineStr">
        <is>
          <t>KALMAR LÄN</t>
        </is>
      </c>
      <c r="E288" t="inlineStr">
        <is>
          <t>OSKARSHAMN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57309-2020</t>
        </is>
      </c>
      <c r="B289" s="1" t="n">
        <v>44139</v>
      </c>
      <c r="C289" s="1" t="n">
        <v>45638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58266-2020</t>
        </is>
      </c>
      <c r="B290" s="1" t="n">
        <v>44144</v>
      </c>
      <c r="C290" s="1" t="n">
        <v>45638</v>
      </c>
      <c r="D290" t="inlineStr">
        <is>
          <t>KALMAR LÄN</t>
        </is>
      </c>
      <c r="E290" t="inlineStr">
        <is>
          <t>OSKARSHAMN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58483-2020</t>
        </is>
      </c>
      <c r="B291" s="1" t="n">
        <v>44145</v>
      </c>
      <c r="C291" s="1" t="n">
        <v>45638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60566-2020</t>
        </is>
      </c>
      <c r="B292" s="1" t="n">
        <v>44153</v>
      </c>
      <c r="C292" s="1" t="n">
        <v>45638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60567-2020</t>
        </is>
      </c>
      <c r="B293" s="1" t="n">
        <v>44153</v>
      </c>
      <c r="C293" s="1" t="n">
        <v>45638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60678-2020</t>
        </is>
      </c>
      <c r="B294" s="1" t="n">
        <v>44153</v>
      </c>
      <c r="C294" s="1" t="n">
        <v>45638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60573-2020</t>
        </is>
      </c>
      <c r="B295" s="1" t="n">
        <v>44153</v>
      </c>
      <c r="C295" s="1" t="n">
        <v>45638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61022-2020</t>
        </is>
      </c>
      <c r="B296" s="1" t="n">
        <v>44154</v>
      </c>
      <c r="C296" s="1" t="n">
        <v>45638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61111-2020</t>
        </is>
      </c>
      <c r="B297" s="1" t="n">
        <v>44154</v>
      </c>
      <c r="C297" s="1" t="n">
        <v>45638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61502-2020</t>
        </is>
      </c>
      <c r="B298" s="1" t="n">
        <v>44158</v>
      </c>
      <c r="C298" s="1" t="n">
        <v>45638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62499-2020</t>
        </is>
      </c>
      <c r="B299" s="1" t="n">
        <v>44160</v>
      </c>
      <c r="C299" s="1" t="n">
        <v>45638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62991-2020</t>
        </is>
      </c>
      <c r="B300" s="1" t="n">
        <v>44162</v>
      </c>
      <c r="C300" s="1" t="n">
        <v>45638</v>
      </c>
      <c r="D300" t="inlineStr">
        <is>
          <t>KALMAR LÄN</t>
        </is>
      </c>
      <c r="E300" t="inlineStr">
        <is>
          <t>OSKARSHAMN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63580-2020</t>
        </is>
      </c>
      <c r="B301" s="1" t="n">
        <v>44165</v>
      </c>
      <c r="C301" s="1" t="n">
        <v>45638</v>
      </c>
      <c r="D301" t="inlineStr">
        <is>
          <t>KALMAR LÄN</t>
        </is>
      </c>
      <c r="E301" t="inlineStr">
        <is>
          <t>OSKARSHAMN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63688-2020</t>
        </is>
      </c>
      <c r="B302" s="1" t="n">
        <v>44166</v>
      </c>
      <c r="C302" s="1" t="n">
        <v>45638</v>
      </c>
      <c r="D302" t="inlineStr">
        <is>
          <t>KALMAR LÄN</t>
        </is>
      </c>
      <c r="E302" t="inlineStr">
        <is>
          <t>OSKARSHAMN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64390-2020</t>
        </is>
      </c>
      <c r="B303" s="1" t="n">
        <v>44168</v>
      </c>
      <c r="C303" s="1" t="n">
        <v>45638</v>
      </c>
      <c r="D303" t="inlineStr">
        <is>
          <t>KALMAR LÄN</t>
        </is>
      </c>
      <c r="E303" t="inlineStr">
        <is>
          <t>OSKARSHAMN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64409-2020</t>
        </is>
      </c>
      <c r="B304" s="1" t="n">
        <v>44168</v>
      </c>
      <c r="C304" s="1" t="n">
        <v>45638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64476-2020</t>
        </is>
      </c>
      <c r="B305" s="1" t="n">
        <v>44168</v>
      </c>
      <c r="C305" s="1" t="n">
        <v>45638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64515-2020</t>
        </is>
      </c>
      <c r="B306" s="1" t="n">
        <v>44169</v>
      </c>
      <c r="C306" s="1" t="n">
        <v>45638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67289-2020</t>
        </is>
      </c>
      <c r="B307" s="1" t="n">
        <v>44181</v>
      </c>
      <c r="C307" s="1" t="n">
        <v>45638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67303-2020</t>
        </is>
      </c>
      <c r="B308" s="1" t="n">
        <v>44181</v>
      </c>
      <c r="C308" s="1" t="n">
        <v>45638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68117-2020</t>
        </is>
      </c>
      <c r="B309" s="1" t="n">
        <v>44183</v>
      </c>
      <c r="C309" s="1" t="n">
        <v>45638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68625-2020</t>
        </is>
      </c>
      <c r="B310" s="1" t="n">
        <v>44186</v>
      </c>
      <c r="C310" s="1" t="n">
        <v>45638</v>
      </c>
      <c r="D310" t="inlineStr">
        <is>
          <t>KALMAR LÄN</t>
        </is>
      </c>
      <c r="E310" t="inlineStr">
        <is>
          <t>OSKARSHAMN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68596-2020</t>
        </is>
      </c>
      <c r="B311" s="1" t="n">
        <v>44186</v>
      </c>
      <c r="C311" s="1" t="n">
        <v>45638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1485-2021</t>
        </is>
      </c>
      <c r="B312" s="1" t="n">
        <v>44208</v>
      </c>
      <c r="C312" s="1" t="n">
        <v>45638</v>
      </c>
      <c r="D312" t="inlineStr">
        <is>
          <t>KALMAR LÄN</t>
        </is>
      </c>
      <c r="E312" t="inlineStr">
        <is>
          <t>OSKARSHAMN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2097-2021</t>
        </is>
      </c>
      <c r="B313" s="1" t="n">
        <v>44211</v>
      </c>
      <c r="C313" s="1" t="n">
        <v>45638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3881-2021</t>
        </is>
      </c>
      <c r="B314" s="1" t="n">
        <v>44222</v>
      </c>
      <c r="C314" s="1" t="n">
        <v>45638</v>
      </c>
      <c r="D314" t="inlineStr">
        <is>
          <t>KALMAR LÄN</t>
        </is>
      </c>
      <c r="E314" t="inlineStr">
        <is>
          <t>OSKARSHAMN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3963-2021</t>
        </is>
      </c>
      <c r="B315" s="1" t="n">
        <v>44222</v>
      </c>
      <c r="C315" s="1" t="n">
        <v>45638</v>
      </c>
      <c r="D315" t="inlineStr">
        <is>
          <t>KALMAR LÄN</t>
        </is>
      </c>
      <c r="E315" t="inlineStr">
        <is>
          <t>OSKARSHAMN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3947-2021</t>
        </is>
      </c>
      <c r="B316" s="1" t="n">
        <v>44222</v>
      </c>
      <c r="C316" s="1" t="n">
        <v>45638</v>
      </c>
      <c r="D316" t="inlineStr">
        <is>
          <t>KALMAR LÄN</t>
        </is>
      </c>
      <c r="E316" t="inlineStr">
        <is>
          <t>OSKARSHAMN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5198-2021</t>
        </is>
      </c>
      <c r="B317" s="1" t="n">
        <v>44228</v>
      </c>
      <c r="C317" s="1" t="n">
        <v>45638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6120-2021</t>
        </is>
      </c>
      <c r="B318" s="1" t="n">
        <v>44232</v>
      </c>
      <c r="C318" s="1" t="n">
        <v>45638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8475-2021</t>
        </is>
      </c>
      <c r="B319" s="1" t="n">
        <v>44245</v>
      </c>
      <c r="C319" s="1" t="n">
        <v>45638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8553-2021</t>
        </is>
      </c>
      <c r="B320" s="1" t="n">
        <v>44245</v>
      </c>
      <c r="C320" s="1" t="n">
        <v>45638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8550-2021</t>
        </is>
      </c>
      <c r="B321" s="1" t="n">
        <v>44245</v>
      </c>
      <c r="C321" s="1" t="n">
        <v>45638</v>
      </c>
      <c r="D321" t="inlineStr">
        <is>
          <t>KALMAR LÄN</t>
        </is>
      </c>
      <c r="E321" t="inlineStr">
        <is>
          <t>OSKARSHAMN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8578-2021</t>
        </is>
      </c>
      <c r="B322" s="1" t="n">
        <v>44245</v>
      </c>
      <c r="C322" s="1" t="n">
        <v>45638</v>
      </c>
      <c r="D322" t="inlineStr">
        <is>
          <t>KALMAR LÄN</t>
        </is>
      </c>
      <c r="E322" t="inlineStr">
        <is>
          <t>OSKARSHAMN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9519-2021</t>
        </is>
      </c>
      <c r="B323" s="1" t="n">
        <v>44251</v>
      </c>
      <c r="C323" s="1" t="n">
        <v>45638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9424-2021</t>
        </is>
      </c>
      <c r="B324" s="1" t="n">
        <v>44251</v>
      </c>
      <c r="C324" s="1" t="n">
        <v>45638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9705-2021</t>
        </is>
      </c>
      <c r="B325" s="1" t="n">
        <v>44252</v>
      </c>
      <c r="C325" s="1" t="n">
        <v>45638</v>
      </c>
      <c r="D325" t="inlineStr">
        <is>
          <t>KALMAR LÄN</t>
        </is>
      </c>
      <c r="E325" t="inlineStr">
        <is>
          <t>OSKARSHAMN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9941-2021</t>
        </is>
      </c>
      <c r="B326" s="1" t="n">
        <v>44253</v>
      </c>
      <c r="C326" s="1" t="n">
        <v>45638</v>
      </c>
      <c r="D326" t="inlineStr">
        <is>
          <t>KALMAR LÄN</t>
        </is>
      </c>
      <c r="E326" t="inlineStr">
        <is>
          <t>OSKARSHAMN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11155-2021</t>
        </is>
      </c>
      <c r="B327" s="1" t="n">
        <v>44261</v>
      </c>
      <c r="C327" s="1" t="n">
        <v>45638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11170-2021</t>
        </is>
      </c>
      <c r="B328" s="1" t="n">
        <v>44262</v>
      </c>
      <c r="C328" s="1" t="n">
        <v>45638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11386-2021</t>
        </is>
      </c>
      <c r="B329" s="1" t="n">
        <v>44263</v>
      </c>
      <c r="C329" s="1" t="n">
        <v>45638</v>
      </c>
      <c r="D329" t="inlineStr">
        <is>
          <t>KALMAR LÄN</t>
        </is>
      </c>
      <c r="E329" t="inlineStr">
        <is>
          <t>OSKARSHAMN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12902-2021</t>
        </is>
      </c>
      <c r="B330" s="1" t="n">
        <v>44271</v>
      </c>
      <c r="C330" s="1" t="n">
        <v>45638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13123-2021</t>
        </is>
      </c>
      <c r="B331" s="1" t="n">
        <v>44272</v>
      </c>
      <c r="C331" s="1" t="n">
        <v>45638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13277-2021</t>
        </is>
      </c>
      <c r="B332" s="1" t="n">
        <v>44272</v>
      </c>
      <c r="C332" s="1" t="n">
        <v>45638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13269-2021</t>
        </is>
      </c>
      <c r="B333" s="1" t="n">
        <v>44272</v>
      </c>
      <c r="C333" s="1" t="n">
        <v>45638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13264-2021</t>
        </is>
      </c>
      <c r="B334" s="1" t="n">
        <v>44272</v>
      </c>
      <c r="C334" s="1" t="n">
        <v>45638</v>
      </c>
      <c r="D334" t="inlineStr">
        <is>
          <t>KALMAR LÄN</t>
        </is>
      </c>
      <c r="E334" t="inlineStr">
        <is>
          <t>OSKARSHAMN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17335-2021</t>
        </is>
      </c>
      <c r="B335" s="1" t="n">
        <v>44298</v>
      </c>
      <c r="C335" s="1" t="n">
        <v>45638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18052-2021</t>
        </is>
      </c>
      <c r="B336" s="1" t="n">
        <v>44302</v>
      </c>
      <c r="C336" s="1" t="n">
        <v>45638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18701-2021</t>
        </is>
      </c>
      <c r="B337" s="1" t="n">
        <v>44307</v>
      </c>
      <c r="C337" s="1" t="n">
        <v>45638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18928-2021</t>
        </is>
      </c>
      <c r="B338" s="1" t="n">
        <v>44308</v>
      </c>
      <c r="C338" s="1" t="n">
        <v>45638</v>
      </c>
      <c r="D338" t="inlineStr">
        <is>
          <t>KALMAR LÄN</t>
        </is>
      </c>
      <c r="E338" t="inlineStr">
        <is>
          <t>OSKARSHAMN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19834-2021</t>
        </is>
      </c>
      <c r="B339" s="1" t="n">
        <v>44313</v>
      </c>
      <c r="C339" s="1" t="n">
        <v>45638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20392-2021</t>
        </is>
      </c>
      <c r="B340" s="1" t="n">
        <v>44315</v>
      </c>
      <c r="C340" s="1" t="n">
        <v>45638</v>
      </c>
      <c r="D340" t="inlineStr">
        <is>
          <t>KALMAR LÄN</t>
        </is>
      </c>
      <c r="E340" t="inlineStr">
        <is>
          <t>OSKARSHAMN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20404-2021</t>
        </is>
      </c>
      <c r="B341" s="1" t="n">
        <v>44315</v>
      </c>
      <c r="C341" s="1" t="n">
        <v>45638</v>
      </c>
      <c r="D341" t="inlineStr">
        <is>
          <t>KALMAR LÄN</t>
        </is>
      </c>
      <c r="E341" t="inlineStr">
        <is>
          <t>OSKARSHAMN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21780-2021</t>
        </is>
      </c>
      <c r="B342" s="1" t="n">
        <v>44320</v>
      </c>
      <c r="C342" s="1" t="n">
        <v>45638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23912-2021</t>
        </is>
      </c>
      <c r="B343" s="1" t="n">
        <v>44335</v>
      </c>
      <c r="C343" s="1" t="n">
        <v>45638</v>
      </c>
      <c r="D343" t="inlineStr">
        <is>
          <t>KALMAR LÄN</t>
        </is>
      </c>
      <c r="E343" t="inlineStr">
        <is>
          <t>OSKARSHAMN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25400-2021</t>
        </is>
      </c>
      <c r="B344" s="1" t="n">
        <v>44342</v>
      </c>
      <c r="C344" s="1" t="n">
        <v>45638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25451-2021</t>
        </is>
      </c>
      <c r="B345" s="1" t="n">
        <v>44342</v>
      </c>
      <c r="C345" s="1" t="n">
        <v>45638</v>
      </c>
      <c r="D345" t="inlineStr">
        <is>
          <t>KALMAR LÄN</t>
        </is>
      </c>
      <c r="E345" t="inlineStr">
        <is>
          <t>OSKARSHAMN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26545-2021</t>
        </is>
      </c>
      <c r="B346" s="1" t="n">
        <v>44348</v>
      </c>
      <c r="C346" s="1" t="n">
        <v>45638</v>
      </c>
      <c r="D346" t="inlineStr">
        <is>
          <t>KALMAR LÄN</t>
        </is>
      </c>
      <c r="E346" t="inlineStr">
        <is>
          <t>OSKARSHAMN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26556-2021</t>
        </is>
      </c>
      <c r="B347" s="1" t="n">
        <v>44348</v>
      </c>
      <c r="C347" s="1" t="n">
        <v>45638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26565-2021</t>
        </is>
      </c>
      <c r="B348" s="1" t="n">
        <v>44348</v>
      </c>
      <c r="C348" s="1" t="n">
        <v>45638</v>
      </c>
      <c r="D348" t="inlineStr">
        <is>
          <t>KALMAR LÄN</t>
        </is>
      </c>
      <c r="E348" t="inlineStr">
        <is>
          <t>OSKARSHAMN</t>
        </is>
      </c>
      <c r="G348" t="n">
        <v>22.1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26430-2021</t>
        </is>
      </c>
      <c r="B349" s="1" t="n">
        <v>44348</v>
      </c>
      <c r="C349" s="1" t="n">
        <v>45638</v>
      </c>
      <c r="D349" t="inlineStr">
        <is>
          <t>KALMAR LÄN</t>
        </is>
      </c>
      <c r="E349" t="inlineStr">
        <is>
          <t>OSKARSHAMN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27077-2021</t>
        </is>
      </c>
      <c r="B350" s="1" t="n">
        <v>44350</v>
      </c>
      <c r="C350" s="1" t="n">
        <v>45638</v>
      </c>
      <c r="D350" t="inlineStr">
        <is>
          <t>KALMAR LÄN</t>
        </is>
      </c>
      <c r="E350" t="inlineStr">
        <is>
          <t>OSKARSHAMN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28091-2021</t>
        </is>
      </c>
      <c r="B351" s="1" t="n">
        <v>44355</v>
      </c>
      <c r="C351" s="1" t="n">
        <v>45638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28442-2021</t>
        </is>
      </c>
      <c r="B352" s="1" t="n">
        <v>44356</v>
      </c>
      <c r="C352" s="1" t="n">
        <v>45638</v>
      </c>
      <c r="D352" t="inlineStr">
        <is>
          <t>KALMAR LÄN</t>
        </is>
      </c>
      <c r="E352" t="inlineStr">
        <is>
          <t>OSKARSHAMN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30946-2021</t>
        </is>
      </c>
      <c r="B353" s="1" t="n">
        <v>44365</v>
      </c>
      <c r="C353" s="1" t="n">
        <v>45638</v>
      </c>
      <c r="D353" t="inlineStr">
        <is>
          <t>KALMAR LÄN</t>
        </is>
      </c>
      <c r="E353" t="inlineStr">
        <is>
          <t>OSKARSHAMN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33306-2021</t>
        </is>
      </c>
      <c r="B354" s="1" t="n">
        <v>44377</v>
      </c>
      <c r="C354" s="1" t="n">
        <v>45638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33946-2021</t>
        </is>
      </c>
      <c r="B355" s="1" t="n">
        <v>44378</v>
      </c>
      <c r="C355" s="1" t="n">
        <v>45638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35980-2021</t>
        </is>
      </c>
      <c r="B356" s="1" t="n">
        <v>44389</v>
      </c>
      <c r="C356" s="1" t="n">
        <v>45638</v>
      </c>
      <c r="D356" t="inlineStr">
        <is>
          <t>KALMAR LÄN</t>
        </is>
      </c>
      <c r="E356" t="inlineStr">
        <is>
          <t>OSKARSHAMN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37090-2021</t>
        </is>
      </c>
      <c r="B357" s="1" t="n">
        <v>44395</v>
      </c>
      <c r="C357" s="1" t="n">
        <v>45638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37536-2021</t>
        </is>
      </c>
      <c r="B358" s="1" t="n">
        <v>44399</v>
      </c>
      <c r="C358" s="1" t="n">
        <v>45638</v>
      </c>
      <c r="D358" t="inlineStr">
        <is>
          <t>KALMAR LÄN</t>
        </is>
      </c>
      <c r="E358" t="inlineStr">
        <is>
          <t>OSKARSHAMN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37595-2021</t>
        </is>
      </c>
      <c r="B359" s="1" t="n">
        <v>44399</v>
      </c>
      <c r="C359" s="1" t="n">
        <v>45638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37894-2021</t>
        </is>
      </c>
      <c r="B360" s="1" t="n">
        <v>44403</v>
      </c>
      <c r="C360" s="1" t="n">
        <v>45638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38323-2021</t>
        </is>
      </c>
      <c r="B361" s="1" t="n">
        <v>44406</v>
      </c>
      <c r="C361" s="1" t="n">
        <v>45638</v>
      </c>
      <c r="D361" t="inlineStr">
        <is>
          <t>KALMAR LÄN</t>
        </is>
      </c>
      <c r="E361" t="inlineStr">
        <is>
          <t>OSKARSHAMN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41937-2021</t>
        </is>
      </c>
      <c r="B362" s="1" t="n">
        <v>44426</v>
      </c>
      <c r="C362" s="1" t="n">
        <v>45638</v>
      </c>
      <c r="D362" t="inlineStr">
        <is>
          <t>KALMAR LÄN</t>
        </is>
      </c>
      <c r="E362" t="inlineStr">
        <is>
          <t>OSKARSHAMN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41936-2021</t>
        </is>
      </c>
      <c r="B363" s="1" t="n">
        <v>44426</v>
      </c>
      <c r="C363" s="1" t="n">
        <v>45638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42039-2021</t>
        </is>
      </c>
      <c r="B364" s="1" t="n">
        <v>44426</v>
      </c>
      <c r="C364" s="1" t="n">
        <v>45638</v>
      </c>
      <c r="D364" t="inlineStr">
        <is>
          <t>KALMAR LÄN</t>
        </is>
      </c>
      <c r="E364" t="inlineStr">
        <is>
          <t>OSKARSHAMN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42439-2021</t>
        </is>
      </c>
      <c r="B365" s="1" t="n">
        <v>44427</v>
      </c>
      <c r="C365" s="1" t="n">
        <v>45638</v>
      </c>
      <c r="D365" t="inlineStr">
        <is>
          <t>KALMAR LÄN</t>
        </is>
      </c>
      <c r="E365" t="inlineStr">
        <is>
          <t>OSKARSHAMN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42594-2021</t>
        </is>
      </c>
      <c r="B366" s="1" t="n">
        <v>44428</v>
      </c>
      <c r="C366" s="1" t="n">
        <v>45638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43187-2021</t>
        </is>
      </c>
      <c r="B367" s="1" t="n">
        <v>44431</v>
      </c>
      <c r="C367" s="1" t="n">
        <v>45638</v>
      </c>
      <c r="D367" t="inlineStr">
        <is>
          <t>KALMAR LÄN</t>
        </is>
      </c>
      <c r="E367" t="inlineStr">
        <is>
          <t>OSKARSHAMN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43801-2021</t>
        </is>
      </c>
      <c r="B368" s="1" t="n">
        <v>44433</v>
      </c>
      <c r="C368" s="1" t="n">
        <v>45638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43949-2021</t>
        </is>
      </c>
      <c r="B369" s="1" t="n">
        <v>44434</v>
      </c>
      <c r="C369" s="1" t="n">
        <v>45638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45493-2021</t>
        </is>
      </c>
      <c r="B370" s="1" t="n">
        <v>44440</v>
      </c>
      <c r="C370" s="1" t="n">
        <v>45638</v>
      </c>
      <c r="D370" t="inlineStr">
        <is>
          <t>KALMAR LÄN</t>
        </is>
      </c>
      <c r="E370" t="inlineStr">
        <is>
          <t>OSKARSHAMN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46392-2021</t>
        </is>
      </c>
      <c r="B371" s="1" t="n">
        <v>44443</v>
      </c>
      <c r="C371" s="1" t="n">
        <v>45638</v>
      </c>
      <c r="D371" t="inlineStr">
        <is>
          <t>KALMAR LÄN</t>
        </is>
      </c>
      <c r="E371" t="inlineStr">
        <is>
          <t>OSKARSHAMN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46977-2021</t>
        </is>
      </c>
      <c r="B372" s="1" t="n">
        <v>44446</v>
      </c>
      <c r="C372" s="1" t="n">
        <v>45638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46968-2021</t>
        </is>
      </c>
      <c r="B373" s="1" t="n">
        <v>44446</v>
      </c>
      <c r="C373" s="1" t="n">
        <v>45638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47433-2021</t>
        </is>
      </c>
      <c r="B374" s="1" t="n">
        <v>44447</v>
      </c>
      <c r="C374" s="1" t="n">
        <v>45638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48582-2021</t>
        </is>
      </c>
      <c r="B375" s="1" t="n">
        <v>44452</v>
      </c>
      <c r="C375" s="1" t="n">
        <v>45638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49632-2021</t>
        </is>
      </c>
      <c r="B376" s="1" t="n">
        <v>44455</v>
      </c>
      <c r="C376" s="1" t="n">
        <v>45638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49639-2021</t>
        </is>
      </c>
      <c r="B377" s="1" t="n">
        <v>44455</v>
      </c>
      <c r="C377" s="1" t="n">
        <v>45638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49592-2021</t>
        </is>
      </c>
      <c r="B378" s="1" t="n">
        <v>44455</v>
      </c>
      <c r="C378" s="1" t="n">
        <v>45638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49626-2021</t>
        </is>
      </c>
      <c r="B379" s="1" t="n">
        <v>44455</v>
      </c>
      <c r="C379" s="1" t="n">
        <v>45638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49634-2021</t>
        </is>
      </c>
      <c r="B380" s="1" t="n">
        <v>44455</v>
      </c>
      <c r="C380" s="1" t="n">
        <v>45638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49889-2021</t>
        </is>
      </c>
      <c r="B381" s="1" t="n">
        <v>44455</v>
      </c>
      <c r="C381" s="1" t="n">
        <v>45638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51379-2021</t>
        </is>
      </c>
      <c r="B382" s="1" t="n">
        <v>44461</v>
      </c>
      <c r="C382" s="1" t="n">
        <v>45638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51383-2021</t>
        </is>
      </c>
      <c r="B383" s="1" t="n">
        <v>44461</v>
      </c>
      <c r="C383" s="1" t="n">
        <v>45638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53024-2021</t>
        </is>
      </c>
      <c r="B384" s="1" t="n">
        <v>44467</v>
      </c>
      <c r="C384" s="1" t="n">
        <v>45638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53682-2021</t>
        </is>
      </c>
      <c r="B385" s="1" t="n">
        <v>44469</v>
      </c>
      <c r="C385" s="1" t="n">
        <v>45638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54277-2021</t>
        </is>
      </c>
      <c r="B386" s="1" t="n">
        <v>44470</v>
      </c>
      <c r="C386" s="1" t="n">
        <v>45638</v>
      </c>
      <c r="D386" t="inlineStr">
        <is>
          <t>KALMAR LÄN</t>
        </is>
      </c>
      <c r="E386" t="inlineStr">
        <is>
          <t>OSKARSHAMN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55702-2021</t>
        </is>
      </c>
      <c r="B387" s="1" t="n">
        <v>44476</v>
      </c>
      <c r="C387" s="1" t="n">
        <v>45638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56030-2021</t>
        </is>
      </c>
      <c r="B388" s="1" t="n">
        <v>44477</v>
      </c>
      <c r="C388" s="1" t="n">
        <v>45638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56046-2021</t>
        </is>
      </c>
      <c r="B389" s="1" t="n">
        <v>44477</v>
      </c>
      <c r="C389" s="1" t="n">
        <v>45638</v>
      </c>
      <c r="D389" t="inlineStr">
        <is>
          <t>KALMAR LÄN</t>
        </is>
      </c>
      <c r="E389" t="inlineStr">
        <is>
          <t>OSKARSHAMN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57318-2021</t>
        </is>
      </c>
      <c r="B390" s="1" t="n">
        <v>44483</v>
      </c>
      <c r="C390" s="1" t="n">
        <v>45638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57483-2021</t>
        </is>
      </c>
      <c r="B391" s="1" t="n">
        <v>44483</v>
      </c>
      <c r="C391" s="1" t="n">
        <v>45638</v>
      </c>
      <c r="D391" t="inlineStr">
        <is>
          <t>KALMAR LÄN</t>
        </is>
      </c>
      <c r="E391" t="inlineStr">
        <is>
          <t>OSKARSHAMN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58406-2021</t>
        </is>
      </c>
      <c r="B392" s="1" t="n">
        <v>44488</v>
      </c>
      <c r="C392" s="1" t="n">
        <v>45638</v>
      </c>
      <c r="D392" t="inlineStr">
        <is>
          <t>KALMAR LÄN</t>
        </is>
      </c>
      <c r="E392" t="inlineStr">
        <is>
          <t>OSKARSHAMN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58395-2021</t>
        </is>
      </c>
      <c r="B393" s="1" t="n">
        <v>44488</v>
      </c>
      <c r="C393" s="1" t="n">
        <v>45638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58401-2021</t>
        </is>
      </c>
      <c r="B394" s="1" t="n">
        <v>44488</v>
      </c>
      <c r="C394" s="1" t="n">
        <v>45638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59068-2021</t>
        </is>
      </c>
      <c r="B395" s="1" t="n">
        <v>44489</v>
      </c>
      <c r="C395" s="1" t="n">
        <v>45638</v>
      </c>
      <c r="D395" t="inlineStr">
        <is>
          <t>KALMAR LÄN</t>
        </is>
      </c>
      <c r="E395" t="inlineStr">
        <is>
          <t>OSKARSHAMN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59075-2021</t>
        </is>
      </c>
      <c r="B396" s="1" t="n">
        <v>44489</v>
      </c>
      <c r="C396" s="1" t="n">
        <v>45638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59055-2021</t>
        </is>
      </c>
      <c r="B397" s="1" t="n">
        <v>44489</v>
      </c>
      <c r="C397" s="1" t="n">
        <v>45638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59058-2021</t>
        </is>
      </c>
      <c r="B398" s="1" t="n">
        <v>44490</v>
      </c>
      <c r="C398" s="1" t="n">
        <v>45638</v>
      </c>
      <c r="D398" t="inlineStr">
        <is>
          <t>KALMAR LÄN</t>
        </is>
      </c>
      <c r="E398" t="inlineStr">
        <is>
          <t>OSKARSHAMN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59002-2021</t>
        </is>
      </c>
      <c r="B399" s="1" t="n">
        <v>44490</v>
      </c>
      <c r="C399" s="1" t="n">
        <v>45638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59710-2021</t>
        </is>
      </c>
      <c r="B400" s="1" t="n">
        <v>44494</v>
      </c>
      <c r="C400" s="1" t="n">
        <v>45638</v>
      </c>
      <c r="D400" t="inlineStr">
        <is>
          <t>KALMAR LÄN</t>
        </is>
      </c>
      <c r="E400" t="inlineStr">
        <is>
          <t>OSKARSHAMN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60913-2021</t>
        </is>
      </c>
      <c r="B401" s="1" t="n">
        <v>44497</v>
      </c>
      <c r="C401" s="1" t="n">
        <v>45638</v>
      </c>
      <c r="D401" t="inlineStr">
        <is>
          <t>KALMAR LÄN</t>
        </is>
      </c>
      <c r="E401" t="inlineStr">
        <is>
          <t>OSKARSHAMN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61901-2021</t>
        </is>
      </c>
      <c r="B402" s="1" t="n">
        <v>44501</v>
      </c>
      <c r="C402" s="1" t="n">
        <v>45638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62623-2021</t>
        </is>
      </c>
      <c r="B403" s="1" t="n">
        <v>44503</v>
      </c>
      <c r="C403" s="1" t="n">
        <v>45638</v>
      </c>
      <c r="D403" t="inlineStr">
        <is>
          <t>KALMAR LÄN</t>
        </is>
      </c>
      <c r="E403" t="inlineStr">
        <is>
          <t>OSKARSHAMN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63711-2021</t>
        </is>
      </c>
      <c r="B404" s="1" t="n">
        <v>44505</v>
      </c>
      <c r="C404" s="1" t="n">
        <v>45638</v>
      </c>
      <c r="D404" t="inlineStr">
        <is>
          <t>KALMAR LÄN</t>
        </is>
      </c>
      <c r="E404" t="inlineStr">
        <is>
          <t>OSKARSHAMN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65147-2021</t>
        </is>
      </c>
      <c r="B405" s="1" t="n">
        <v>44515</v>
      </c>
      <c r="C405" s="1" t="n">
        <v>45638</v>
      </c>
      <c r="D405" t="inlineStr">
        <is>
          <t>KALMAR LÄN</t>
        </is>
      </c>
      <c r="E405" t="inlineStr">
        <is>
          <t>OSKARSHAMN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65155-2021</t>
        </is>
      </c>
      <c r="B406" s="1" t="n">
        <v>44515</v>
      </c>
      <c r="C406" s="1" t="n">
        <v>45638</v>
      </c>
      <c r="D406" t="inlineStr">
        <is>
          <t>KALMAR LÄN</t>
        </is>
      </c>
      <c r="E406" t="inlineStr">
        <is>
          <t>OSKARSHAMN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65172-2021</t>
        </is>
      </c>
      <c r="B407" s="1" t="n">
        <v>44515</v>
      </c>
      <c r="C407" s="1" t="n">
        <v>45638</v>
      </c>
      <c r="D407" t="inlineStr">
        <is>
          <t>KALMAR LÄN</t>
        </is>
      </c>
      <c r="E407" t="inlineStr">
        <is>
          <t>OSKARSHAMN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65314-2021</t>
        </is>
      </c>
      <c r="B408" s="1" t="n">
        <v>44515</v>
      </c>
      <c r="C408" s="1" t="n">
        <v>45638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65320-2021</t>
        </is>
      </c>
      <c r="B409" s="1" t="n">
        <v>44515</v>
      </c>
      <c r="C409" s="1" t="n">
        <v>45638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65726-2021</t>
        </is>
      </c>
      <c r="B410" s="1" t="n">
        <v>44516</v>
      </c>
      <c r="C410" s="1" t="n">
        <v>45638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65852-2021</t>
        </is>
      </c>
      <c r="B411" s="1" t="n">
        <v>44517</v>
      </c>
      <c r="C411" s="1" t="n">
        <v>45638</v>
      </c>
      <c r="D411" t="inlineStr">
        <is>
          <t>KALMAR LÄN</t>
        </is>
      </c>
      <c r="E411" t="inlineStr">
        <is>
          <t>OSKARSHAMN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67465-2021</t>
        </is>
      </c>
      <c r="B412" s="1" t="n">
        <v>44524</v>
      </c>
      <c r="C412" s="1" t="n">
        <v>45638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70955-2021</t>
        </is>
      </c>
      <c r="B413" s="1" t="n">
        <v>44538</v>
      </c>
      <c r="C413" s="1" t="n">
        <v>45638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71338-2021</t>
        </is>
      </c>
      <c r="B414" s="1" t="n">
        <v>44539</v>
      </c>
      <c r="C414" s="1" t="n">
        <v>45638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71343-2021</t>
        </is>
      </c>
      <c r="B415" s="1" t="n">
        <v>44539</v>
      </c>
      <c r="C415" s="1" t="n">
        <v>45638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71340-2021</t>
        </is>
      </c>
      <c r="B416" s="1" t="n">
        <v>44539</v>
      </c>
      <c r="C416" s="1" t="n">
        <v>45638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71339-2021</t>
        </is>
      </c>
      <c r="B417" s="1" t="n">
        <v>44539</v>
      </c>
      <c r="C417" s="1" t="n">
        <v>45638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71346-2021</t>
        </is>
      </c>
      <c r="B418" s="1" t="n">
        <v>44539</v>
      </c>
      <c r="C418" s="1" t="n">
        <v>45638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71342-2021</t>
        </is>
      </c>
      <c r="B419" s="1" t="n">
        <v>44539</v>
      </c>
      <c r="C419" s="1" t="n">
        <v>45638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72220-2021</t>
        </is>
      </c>
      <c r="B420" s="1" t="n">
        <v>44544</v>
      </c>
      <c r="C420" s="1" t="n">
        <v>45638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72394-2021</t>
        </is>
      </c>
      <c r="B421" s="1" t="n">
        <v>44544</v>
      </c>
      <c r="C421" s="1" t="n">
        <v>45638</v>
      </c>
      <c r="D421" t="inlineStr">
        <is>
          <t>KALMAR LÄN</t>
        </is>
      </c>
      <c r="E421" t="inlineStr">
        <is>
          <t>OSKARSHAMN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72735-2021</t>
        </is>
      </c>
      <c r="B422" s="1" t="n">
        <v>44546</v>
      </c>
      <c r="C422" s="1" t="n">
        <v>45638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72736-2021</t>
        </is>
      </c>
      <c r="B423" s="1" t="n">
        <v>44546</v>
      </c>
      <c r="C423" s="1" t="n">
        <v>45638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72819-2021</t>
        </is>
      </c>
      <c r="B424" s="1" t="n">
        <v>44547</v>
      </c>
      <c r="C424" s="1" t="n">
        <v>45638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72786-2021</t>
        </is>
      </c>
      <c r="B425" s="1" t="n">
        <v>44547</v>
      </c>
      <c r="C425" s="1" t="n">
        <v>45638</v>
      </c>
      <c r="D425" t="inlineStr">
        <is>
          <t>KALMAR LÄN</t>
        </is>
      </c>
      <c r="E425" t="inlineStr">
        <is>
          <t>OSKARSHAMN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73404-2021</t>
        </is>
      </c>
      <c r="B426" s="1" t="n">
        <v>44551</v>
      </c>
      <c r="C426" s="1" t="n">
        <v>45638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73619-2021</t>
        </is>
      </c>
      <c r="B427" s="1" t="n">
        <v>44552</v>
      </c>
      <c r="C427" s="1" t="n">
        <v>45638</v>
      </c>
      <c r="D427" t="inlineStr">
        <is>
          <t>KALMAR LÄN</t>
        </is>
      </c>
      <c r="E427" t="inlineStr">
        <is>
          <t>OSKARSHAMN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73656-2021</t>
        </is>
      </c>
      <c r="B428" s="1" t="n">
        <v>44552</v>
      </c>
      <c r="C428" s="1" t="n">
        <v>45638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162-2022</t>
        </is>
      </c>
      <c r="B429" s="1" t="n">
        <v>44564</v>
      </c>
      <c r="C429" s="1" t="n">
        <v>45638</v>
      </c>
      <c r="D429" t="inlineStr">
        <is>
          <t>KALMAR LÄN</t>
        </is>
      </c>
      <c r="E429" t="inlineStr">
        <is>
          <t>OSKARSHAMN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156-2022</t>
        </is>
      </c>
      <c r="B430" s="1" t="n">
        <v>44564</v>
      </c>
      <c r="C430" s="1" t="n">
        <v>45638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1401-2022</t>
        </is>
      </c>
      <c r="B431" s="1" t="n">
        <v>44573</v>
      </c>
      <c r="C431" s="1" t="n">
        <v>45638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1556-2022</t>
        </is>
      </c>
      <c r="B432" s="1" t="n">
        <v>44573</v>
      </c>
      <c r="C432" s="1" t="n">
        <v>45638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1951-2022</t>
        </is>
      </c>
      <c r="B433" s="1" t="n">
        <v>44575</v>
      </c>
      <c r="C433" s="1" t="n">
        <v>45638</v>
      </c>
      <c r="D433" t="inlineStr">
        <is>
          <t>KALMAR LÄN</t>
        </is>
      </c>
      <c r="E433" t="inlineStr">
        <is>
          <t>OSKARSHAMN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2430-2022</t>
        </is>
      </c>
      <c r="B434" s="1" t="n">
        <v>44579</v>
      </c>
      <c r="C434" s="1" t="n">
        <v>45638</v>
      </c>
      <c r="D434" t="inlineStr">
        <is>
          <t>KALMAR LÄN</t>
        </is>
      </c>
      <c r="E434" t="inlineStr">
        <is>
          <t>OSKARSHAMN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2721-2022</t>
        </is>
      </c>
      <c r="B435" s="1" t="n">
        <v>44580</v>
      </c>
      <c r="C435" s="1" t="n">
        <v>45638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3565-2022</t>
        </is>
      </c>
      <c r="B436" s="1" t="n">
        <v>44586</v>
      </c>
      <c r="C436" s="1" t="n">
        <v>45638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3911-2022</t>
        </is>
      </c>
      <c r="B437" s="1" t="n">
        <v>44587</v>
      </c>
      <c r="C437" s="1" t="n">
        <v>45638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4321-2022</t>
        </is>
      </c>
      <c r="B438" s="1" t="n">
        <v>44588</v>
      </c>
      <c r="C438" s="1" t="n">
        <v>45638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4880-2022</t>
        </is>
      </c>
      <c r="B439" s="1" t="n">
        <v>44593</v>
      </c>
      <c r="C439" s="1" t="n">
        <v>45638</v>
      </c>
      <c r="D439" t="inlineStr">
        <is>
          <t>KALMAR LÄN</t>
        </is>
      </c>
      <c r="E439" t="inlineStr">
        <is>
          <t>OSKARSHAMN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5087-2022</t>
        </is>
      </c>
      <c r="B440" s="1" t="n">
        <v>44593</v>
      </c>
      <c r="C440" s="1" t="n">
        <v>45638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5085-2022</t>
        </is>
      </c>
      <c r="B441" s="1" t="n">
        <v>44593</v>
      </c>
      <c r="C441" s="1" t="n">
        <v>45638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5327-2022</t>
        </is>
      </c>
      <c r="B442" s="1" t="n">
        <v>44594</v>
      </c>
      <c r="C442" s="1" t="n">
        <v>45638</v>
      </c>
      <c r="D442" t="inlineStr">
        <is>
          <t>KALMAR LÄN</t>
        </is>
      </c>
      <c r="E442" t="inlineStr">
        <is>
          <t>OSKARSHAMN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5606-2022</t>
        </is>
      </c>
      <c r="B443" s="1" t="n">
        <v>44595</v>
      </c>
      <c r="C443" s="1" t="n">
        <v>45638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5661-2022</t>
        </is>
      </c>
      <c r="B444" s="1" t="n">
        <v>44596</v>
      </c>
      <c r="C444" s="1" t="n">
        <v>45638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5854-2022</t>
        </is>
      </c>
      <c r="B445" s="1" t="n">
        <v>44596</v>
      </c>
      <c r="C445" s="1" t="n">
        <v>45638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6909-2022</t>
        </is>
      </c>
      <c r="B446" s="1" t="n">
        <v>44602</v>
      </c>
      <c r="C446" s="1" t="n">
        <v>45638</v>
      </c>
      <c r="D446" t="inlineStr">
        <is>
          <t>KALMAR LÄN</t>
        </is>
      </c>
      <c r="E446" t="inlineStr">
        <is>
          <t>OSKARSHAMN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7143-2022</t>
        </is>
      </c>
      <c r="B447" s="1" t="n">
        <v>44603</v>
      </c>
      <c r="C447" s="1" t="n">
        <v>45638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7962-2022</t>
        </is>
      </c>
      <c r="B448" s="1" t="n">
        <v>44608</v>
      </c>
      <c r="C448" s="1" t="n">
        <v>45638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8667-2022</t>
        </is>
      </c>
      <c r="B449" s="1" t="n">
        <v>44613</v>
      </c>
      <c r="C449" s="1" t="n">
        <v>45638</v>
      </c>
      <c r="D449" t="inlineStr">
        <is>
          <t>KALMAR LÄN</t>
        </is>
      </c>
      <c r="E449" t="inlineStr">
        <is>
          <t>OSKARSHAMN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8656-2022</t>
        </is>
      </c>
      <c r="B450" s="1" t="n">
        <v>44613</v>
      </c>
      <c r="C450" s="1" t="n">
        <v>45638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9505-2022</t>
        </is>
      </c>
      <c r="B451" s="1" t="n">
        <v>44616</v>
      </c>
      <c r="C451" s="1" t="n">
        <v>45638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9801-2022</t>
        </is>
      </c>
      <c r="B452" s="1" t="n">
        <v>44620</v>
      </c>
      <c r="C452" s="1" t="n">
        <v>45638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9919-2022</t>
        </is>
      </c>
      <c r="B453" s="1" t="n">
        <v>44620</v>
      </c>
      <c r="C453" s="1" t="n">
        <v>45638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10089-2022</t>
        </is>
      </c>
      <c r="B454" s="1" t="n">
        <v>44621</v>
      </c>
      <c r="C454" s="1" t="n">
        <v>45638</v>
      </c>
      <c r="D454" t="inlineStr">
        <is>
          <t>KALMAR LÄN</t>
        </is>
      </c>
      <c r="E454" t="inlineStr">
        <is>
          <t>OSKARSHAMN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10102-2022</t>
        </is>
      </c>
      <c r="B455" s="1" t="n">
        <v>44621</v>
      </c>
      <c r="C455" s="1" t="n">
        <v>45638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10107-2022</t>
        </is>
      </c>
      <c r="B456" s="1" t="n">
        <v>44621</v>
      </c>
      <c r="C456" s="1" t="n">
        <v>45638</v>
      </c>
      <c r="D456" t="inlineStr">
        <is>
          <t>KALMAR LÄN</t>
        </is>
      </c>
      <c r="E456" t="inlineStr">
        <is>
          <t>OSKARSHAMN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10145-2022</t>
        </is>
      </c>
      <c r="B457" s="1" t="n">
        <v>44621</v>
      </c>
      <c r="C457" s="1" t="n">
        <v>45638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10630-2022</t>
        </is>
      </c>
      <c r="B458" s="1" t="n">
        <v>44624</v>
      </c>
      <c r="C458" s="1" t="n">
        <v>45638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10800-2022</t>
        </is>
      </c>
      <c r="B459" s="1" t="n">
        <v>44627</v>
      </c>
      <c r="C459" s="1" t="n">
        <v>45638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11219-2022</t>
        </is>
      </c>
      <c r="B460" s="1" t="n">
        <v>44629</v>
      </c>
      <c r="C460" s="1" t="n">
        <v>45638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11464-2022</t>
        </is>
      </c>
      <c r="B461" s="1" t="n">
        <v>44630</v>
      </c>
      <c r="C461" s="1" t="n">
        <v>45638</v>
      </c>
      <c r="D461" t="inlineStr">
        <is>
          <t>KALMAR LÄN</t>
        </is>
      </c>
      <c r="E461" t="inlineStr">
        <is>
          <t>OSKARSHAMN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14022-2022</t>
        </is>
      </c>
      <c r="B462" s="1" t="n">
        <v>44650</v>
      </c>
      <c r="C462" s="1" t="n">
        <v>45638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14892-2022</t>
        </is>
      </c>
      <c r="B463" s="1" t="n">
        <v>44656</v>
      </c>
      <c r="C463" s="1" t="n">
        <v>45638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14876-2022</t>
        </is>
      </c>
      <c r="B464" s="1" t="n">
        <v>44656</v>
      </c>
      <c r="C464" s="1" t="n">
        <v>45638</v>
      </c>
      <c r="D464" t="inlineStr">
        <is>
          <t>KALMAR LÄN</t>
        </is>
      </c>
      <c r="E464" t="inlineStr">
        <is>
          <t>OSKARSHAMN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15031-2022</t>
        </is>
      </c>
      <c r="B465" s="1" t="n">
        <v>44657</v>
      </c>
      <c r="C465" s="1" t="n">
        <v>45638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15754-2022</t>
        </is>
      </c>
      <c r="B466" s="1" t="n">
        <v>44663</v>
      </c>
      <c r="C466" s="1" t="n">
        <v>45638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15867-2022</t>
        </is>
      </c>
      <c r="B467" s="1" t="n">
        <v>44664</v>
      </c>
      <c r="C467" s="1" t="n">
        <v>45638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15875-2022</t>
        </is>
      </c>
      <c r="B468" s="1" t="n">
        <v>44664</v>
      </c>
      <c r="C468" s="1" t="n">
        <v>45638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17188-2022</t>
        </is>
      </c>
      <c r="B469" s="1" t="n">
        <v>44677</v>
      </c>
      <c r="C469" s="1" t="n">
        <v>45638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17183-2022</t>
        </is>
      </c>
      <c r="B470" s="1" t="n">
        <v>44677</v>
      </c>
      <c r="C470" s="1" t="n">
        <v>45638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18087-2022</t>
        </is>
      </c>
      <c r="B471" s="1" t="n">
        <v>44683</v>
      </c>
      <c r="C471" s="1" t="n">
        <v>45638</v>
      </c>
      <c r="D471" t="inlineStr">
        <is>
          <t>KALMAR LÄN</t>
        </is>
      </c>
      <c r="E471" t="inlineStr">
        <is>
          <t>OSKARSHAMN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18083-2022</t>
        </is>
      </c>
      <c r="B472" s="1" t="n">
        <v>44683</v>
      </c>
      <c r="C472" s="1" t="n">
        <v>45638</v>
      </c>
      <c r="D472" t="inlineStr">
        <is>
          <t>KALMAR LÄN</t>
        </is>
      </c>
      <c r="E472" t="inlineStr">
        <is>
          <t>OSKARSHAMN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18278-2022</t>
        </is>
      </c>
      <c r="B473" s="1" t="n">
        <v>44685</v>
      </c>
      <c r="C473" s="1" t="n">
        <v>45638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19986-2022</t>
        </is>
      </c>
      <c r="B474" s="1" t="n">
        <v>44697</v>
      </c>
      <c r="C474" s="1" t="n">
        <v>45638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21059-2022</t>
        </is>
      </c>
      <c r="B475" s="1" t="n">
        <v>44704</v>
      </c>
      <c r="C475" s="1" t="n">
        <v>45638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21065-2022</t>
        </is>
      </c>
      <c r="B476" s="1" t="n">
        <v>44704</v>
      </c>
      <c r="C476" s="1" t="n">
        <v>45638</v>
      </c>
      <c r="D476" t="inlineStr">
        <is>
          <t>KALMAR LÄN</t>
        </is>
      </c>
      <c r="E476" t="inlineStr">
        <is>
          <t>OSKARSHAMN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21916-2022</t>
        </is>
      </c>
      <c r="B477" s="1" t="n">
        <v>44711</v>
      </c>
      <c r="C477" s="1" t="n">
        <v>45638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21964-2022</t>
        </is>
      </c>
      <c r="B478" s="1" t="n">
        <v>44711</v>
      </c>
      <c r="C478" s="1" t="n">
        <v>45638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21906-2022</t>
        </is>
      </c>
      <c r="B479" s="1" t="n">
        <v>44711</v>
      </c>
      <c r="C479" s="1" t="n">
        <v>45638</v>
      </c>
      <c r="D479" t="inlineStr">
        <is>
          <t>KALMAR LÄN</t>
        </is>
      </c>
      <c r="E479" t="inlineStr">
        <is>
          <t>OSKARSHAMN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21921-2022</t>
        </is>
      </c>
      <c r="B480" s="1" t="n">
        <v>44711</v>
      </c>
      <c r="C480" s="1" t="n">
        <v>45638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21931-2022</t>
        </is>
      </c>
      <c r="B481" s="1" t="n">
        <v>44711</v>
      </c>
      <c r="C481" s="1" t="n">
        <v>45638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22278-2022</t>
        </is>
      </c>
      <c r="B482" s="1" t="n">
        <v>44712</v>
      </c>
      <c r="C482" s="1" t="n">
        <v>45638</v>
      </c>
      <c r="D482" t="inlineStr">
        <is>
          <t>KALMAR LÄN</t>
        </is>
      </c>
      <c r="E482" t="inlineStr">
        <is>
          <t>OSKARSHAMN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22282-2022</t>
        </is>
      </c>
      <c r="B483" s="1" t="n">
        <v>44712</v>
      </c>
      <c r="C483" s="1" t="n">
        <v>45638</v>
      </c>
      <c r="D483" t="inlineStr">
        <is>
          <t>KALMAR LÄN</t>
        </is>
      </c>
      <c r="E483" t="inlineStr">
        <is>
          <t>OSKARSHAMN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22291-2022</t>
        </is>
      </c>
      <c r="B484" s="1" t="n">
        <v>44712</v>
      </c>
      <c r="C484" s="1" t="n">
        <v>45638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22543-2022</t>
        </is>
      </c>
      <c r="B485" s="1" t="n">
        <v>44713</v>
      </c>
      <c r="C485" s="1" t="n">
        <v>45638</v>
      </c>
      <c r="D485" t="inlineStr">
        <is>
          <t>KALMAR LÄN</t>
        </is>
      </c>
      <c r="E485" t="inlineStr">
        <is>
          <t>OSKARSHAMN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22539-2022</t>
        </is>
      </c>
      <c r="B486" s="1" t="n">
        <v>44713</v>
      </c>
      <c r="C486" s="1" t="n">
        <v>45638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24497-2022</t>
        </is>
      </c>
      <c r="B487" s="1" t="n">
        <v>44726</v>
      </c>
      <c r="C487" s="1" t="n">
        <v>45638</v>
      </c>
      <c r="D487" t="inlineStr">
        <is>
          <t>KALMAR LÄN</t>
        </is>
      </c>
      <c r="E487" t="inlineStr">
        <is>
          <t>OSKARSHAMN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25867-2022</t>
        </is>
      </c>
      <c r="B488" s="1" t="n">
        <v>44733</v>
      </c>
      <c r="C488" s="1" t="n">
        <v>45638</v>
      </c>
      <c r="D488" t="inlineStr">
        <is>
          <t>KALMAR LÄN</t>
        </is>
      </c>
      <c r="E488" t="inlineStr">
        <is>
          <t>OSKARSHAMN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27684-2022</t>
        </is>
      </c>
      <c r="B489" s="1" t="n">
        <v>44743</v>
      </c>
      <c r="C489" s="1" t="n">
        <v>45638</v>
      </c>
      <c r="D489" t="inlineStr">
        <is>
          <t>KALMAR LÄN</t>
        </is>
      </c>
      <c r="E489" t="inlineStr">
        <is>
          <t>OSKARSHAMN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29022-2022</t>
        </is>
      </c>
      <c r="B490" s="1" t="n">
        <v>44749</v>
      </c>
      <c r="C490" s="1" t="n">
        <v>45638</v>
      </c>
      <c r="D490" t="inlineStr">
        <is>
          <t>KALMAR LÄN</t>
        </is>
      </c>
      <c r="E490" t="inlineStr">
        <is>
          <t>OSKARSHAMN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29021-2022</t>
        </is>
      </c>
      <c r="B491" s="1" t="n">
        <v>44749</v>
      </c>
      <c r="C491" s="1" t="n">
        <v>45638</v>
      </c>
      <c r="D491" t="inlineStr">
        <is>
          <t>KALMAR LÄN</t>
        </is>
      </c>
      <c r="E491" t="inlineStr">
        <is>
          <t>OSKARSHAMN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29609-2022</t>
        </is>
      </c>
      <c r="B492" s="1" t="n">
        <v>44754</v>
      </c>
      <c r="C492" s="1" t="n">
        <v>45638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29745-2022</t>
        </is>
      </c>
      <c r="B493" s="1" t="n">
        <v>44755</v>
      </c>
      <c r="C493" s="1" t="n">
        <v>45638</v>
      </c>
      <c r="D493" t="inlineStr">
        <is>
          <t>KALMAR LÄN</t>
        </is>
      </c>
      <c r="E493" t="inlineStr">
        <is>
          <t>OSKARSHAMN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29755-2022</t>
        </is>
      </c>
      <c r="B494" s="1" t="n">
        <v>44755</v>
      </c>
      <c r="C494" s="1" t="n">
        <v>45638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29788-2022</t>
        </is>
      </c>
      <c r="B495" s="1" t="n">
        <v>44755</v>
      </c>
      <c r="C495" s="1" t="n">
        <v>45638</v>
      </c>
      <c r="D495" t="inlineStr">
        <is>
          <t>KALMAR LÄN</t>
        </is>
      </c>
      <c r="E495" t="inlineStr">
        <is>
          <t>OSKARSHAMN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29932-2022</t>
        </is>
      </c>
      <c r="B496" s="1" t="n">
        <v>44756</v>
      </c>
      <c r="C496" s="1" t="n">
        <v>45638</v>
      </c>
      <c r="D496" t="inlineStr">
        <is>
          <t>KALMAR LÄN</t>
        </is>
      </c>
      <c r="E496" t="inlineStr">
        <is>
          <t>OSKARSHAMN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29941-2022</t>
        </is>
      </c>
      <c r="B497" s="1" t="n">
        <v>44756</v>
      </c>
      <c r="C497" s="1" t="n">
        <v>45638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30000-2022</t>
        </is>
      </c>
      <c r="B498" s="1" t="n">
        <v>44756</v>
      </c>
      <c r="C498" s="1" t="n">
        <v>45638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30489-2022</t>
        </is>
      </c>
      <c r="B499" s="1" t="n">
        <v>44762</v>
      </c>
      <c r="C499" s="1" t="n">
        <v>45638</v>
      </c>
      <c r="D499" t="inlineStr">
        <is>
          <t>KALMAR LÄN</t>
        </is>
      </c>
      <c r="E499" t="inlineStr">
        <is>
          <t>OSKARSHAMN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30448-2022</t>
        </is>
      </c>
      <c r="B500" s="1" t="n">
        <v>44761</v>
      </c>
      <c r="C500" s="1" t="n">
        <v>45638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30646-2022</t>
        </is>
      </c>
      <c r="B501" s="1" t="n">
        <v>44762</v>
      </c>
      <c r="C501" s="1" t="n">
        <v>45638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30639-2022</t>
        </is>
      </c>
      <c r="B502" s="1" t="n">
        <v>44762</v>
      </c>
      <c r="C502" s="1" t="n">
        <v>45638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30699-2022</t>
        </is>
      </c>
      <c r="B503" s="1" t="n">
        <v>44763</v>
      </c>
      <c r="C503" s="1" t="n">
        <v>45638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30930-2022</t>
        </is>
      </c>
      <c r="B504" s="1" t="n">
        <v>44767</v>
      </c>
      <c r="C504" s="1" t="n">
        <v>45638</v>
      </c>
      <c r="D504" t="inlineStr">
        <is>
          <t>KALMAR LÄN</t>
        </is>
      </c>
      <c r="E504" t="inlineStr">
        <is>
          <t>OSKARSHAMN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30926-2022</t>
        </is>
      </c>
      <c r="B505" s="1" t="n">
        <v>44767</v>
      </c>
      <c r="C505" s="1" t="n">
        <v>45638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30965-2022</t>
        </is>
      </c>
      <c r="B506" s="1" t="n">
        <v>44768</v>
      </c>
      <c r="C506" s="1" t="n">
        <v>45638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30966-2022</t>
        </is>
      </c>
      <c r="B507" s="1" t="n">
        <v>44768</v>
      </c>
      <c r="C507" s="1" t="n">
        <v>45638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31309-2022</t>
        </is>
      </c>
      <c r="B508" s="1" t="n">
        <v>44774</v>
      </c>
      <c r="C508" s="1" t="n">
        <v>45638</v>
      </c>
      <c r="D508" t="inlineStr">
        <is>
          <t>KALMAR LÄN</t>
        </is>
      </c>
      <c r="E508" t="inlineStr">
        <is>
          <t>OSKARSHAMN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32034-2022</t>
        </is>
      </c>
      <c r="B509" s="1" t="n">
        <v>44778</v>
      </c>
      <c r="C509" s="1" t="n">
        <v>45638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32283-2022</t>
        </is>
      </c>
      <c r="B510" s="1" t="n">
        <v>44781</v>
      </c>
      <c r="C510" s="1" t="n">
        <v>45638</v>
      </c>
      <c r="D510" t="inlineStr">
        <is>
          <t>KALMAR LÄN</t>
        </is>
      </c>
      <c r="E510" t="inlineStr">
        <is>
          <t>OSKARSHAMN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33064-2022</t>
        </is>
      </c>
      <c r="B511" s="1" t="n">
        <v>44785</v>
      </c>
      <c r="C511" s="1" t="n">
        <v>45638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33606-2022</t>
        </is>
      </c>
      <c r="B512" s="1" t="n">
        <v>44789</v>
      </c>
      <c r="C512" s="1" t="n">
        <v>45638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33552-2022</t>
        </is>
      </c>
      <c r="B513" s="1" t="n">
        <v>44789</v>
      </c>
      <c r="C513" s="1" t="n">
        <v>45638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34155-2022</t>
        </is>
      </c>
      <c r="B514" s="1" t="n">
        <v>44791</v>
      </c>
      <c r="C514" s="1" t="n">
        <v>45638</v>
      </c>
      <c r="D514" t="inlineStr">
        <is>
          <t>KALMAR LÄN</t>
        </is>
      </c>
      <c r="E514" t="inlineStr">
        <is>
          <t>OSKARSHAMN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34238-2022</t>
        </is>
      </c>
      <c r="B515" s="1" t="n">
        <v>44791</v>
      </c>
      <c r="C515" s="1" t="n">
        <v>45638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36007-2022</t>
        </is>
      </c>
      <c r="B516" s="1" t="n">
        <v>44802</v>
      </c>
      <c r="C516" s="1" t="n">
        <v>45638</v>
      </c>
      <c r="D516" t="inlineStr">
        <is>
          <t>KALMAR LÄN</t>
        </is>
      </c>
      <c r="E516" t="inlineStr">
        <is>
          <t>OSKARSHAMN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36313-2022</t>
        </is>
      </c>
      <c r="B517" s="1" t="n">
        <v>44803</v>
      </c>
      <c r="C517" s="1" t="n">
        <v>45638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37003-2022</t>
        </is>
      </c>
      <c r="B518" s="1" t="n">
        <v>44806</v>
      </c>
      <c r="C518" s="1" t="n">
        <v>45638</v>
      </c>
      <c r="D518" t="inlineStr">
        <is>
          <t>KALMAR LÄN</t>
        </is>
      </c>
      <c r="E518" t="inlineStr">
        <is>
          <t>OSKARSHAMN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39201-2022</t>
        </is>
      </c>
      <c r="B519" s="1" t="n">
        <v>44817</v>
      </c>
      <c r="C519" s="1" t="n">
        <v>45638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39651-2022</t>
        </is>
      </c>
      <c r="B520" s="1" t="n">
        <v>44818</v>
      </c>
      <c r="C520" s="1" t="n">
        <v>45638</v>
      </c>
      <c r="D520" t="inlineStr">
        <is>
          <t>KALMAR LÄN</t>
        </is>
      </c>
      <c r="E520" t="inlineStr">
        <is>
          <t>OSKARSHAMN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39633-2022</t>
        </is>
      </c>
      <c r="B521" s="1" t="n">
        <v>44818</v>
      </c>
      <c r="C521" s="1" t="n">
        <v>45638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39670-2022</t>
        </is>
      </c>
      <c r="B522" s="1" t="n">
        <v>44818</v>
      </c>
      <c r="C522" s="1" t="n">
        <v>45638</v>
      </c>
      <c r="D522" t="inlineStr">
        <is>
          <t>KALMAR LÄN</t>
        </is>
      </c>
      <c r="E522" t="inlineStr">
        <is>
          <t>OSKARSHAMN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39629-2022</t>
        </is>
      </c>
      <c r="B523" s="1" t="n">
        <v>44818</v>
      </c>
      <c r="C523" s="1" t="n">
        <v>45638</v>
      </c>
      <c r="D523" t="inlineStr">
        <is>
          <t>KALMAR LÄN</t>
        </is>
      </c>
      <c r="E523" t="inlineStr">
        <is>
          <t>OSKARSHAMN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39655-2022</t>
        </is>
      </c>
      <c r="B524" s="1" t="n">
        <v>44818</v>
      </c>
      <c r="C524" s="1" t="n">
        <v>45638</v>
      </c>
      <c r="D524" t="inlineStr">
        <is>
          <t>KALMAR LÄN</t>
        </is>
      </c>
      <c r="E524" t="inlineStr">
        <is>
          <t>OSKARSHAMN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39662-2022</t>
        </is>
      </c>
      <c r="B525" s="1" t="n">
        <v>44818</v>
      </c>
      <c r="C525" s="1" t="n">
        <v>45638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39674-2022</t>
        </is>
      </c>
      <c r="B526" s="1" t="n">
        <v>44818</v>
      </c>
      <c r="C526" s="1" t="n">
        <v>45638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39677-2022</t>
        </is>
      </c>
      <c r="B527" s="1" t="n">
        <v>44818</v>
      </c>
      <c r="C527" s="1" t="n">
        <v>45638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40255-2022</t>
        </is>
      </c>
      <c r="B528" s="1" t="n">
        <v>44820</v>
      </c>
      <c r="C528" s="1" t="n">
        <v>45638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40257-2022</t>
        </is>
      </c>
      <c r="B529" s="1" t="n">
        <v>44820</v>
      </c>
      <c r="C529" s="1" t="n">
        <v>45638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40254-2022</t>
        </is>
      </c>
      <c r="B530" s="1" t="n">
        <v>44820</v>
      </c>
      <c r="C530" s="1" t="n">
        <v>45638</v>
      </c>
      <c r="D530" t="inlineStr">
        <is>
          <t>KALMAR LÄN</t>
        </is>
      </c>
      <c r="E530" t="inlineStr">
        <is>
          <t>OSKARSHAMN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40256-2022</t>
        </is>
      </c>
      <c r="B531" s="1" t="n">
        <v>44820</v>
      </c>
      <c r="C531" s="1" t="n">
        <v>45638</v>
      </c>
      <c r="D531" t="inlineStr">
        <is>
          <t>KALMAR LÄN</t>
        </is>
      </c>
      <c r="E531" t="inlineStr">
        <is>
          <t>OSKARSHAMN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40857-2022</t>
        </is>
      </c>
      <c r="B532" s="1" t="n">
        <v>44825</v>
      </c>
      <c r="C532" s="1" t="n">
        <v>45638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42583-2022</t>
        </is>
      </c>
      <c r="B533" s="1" t="n">
        <v>44831</v>
      </c>
      <c r="C533" s="1" t="n">
        <v>45638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43043-2022</t>
        </is>
      </c>
      <c r="B534" s="1" t="n">
        <v>44833</v>
      </c>
      <c r="C534" s="1" t="n">
        <v>45638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43463-2022</t>
        </is>
      </c>
      <c r="B535" s="1" t="n">
        <v>44836</v>
      </c>
      <c r="C535" s="1" t="n">
        <v>45638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43548-2022</t>
        </is>
      </c>
      <c r="B536" s="1" t="n">
        <v>44837</v>
      </c>
      <c r="C536" s="1" t="n">
        <v>45638</v>
      </c>
      <c r="D536" t="inlineStr">
        <is>
          <t>KALMAR LÄN</t>
        </is>
      </c>
      <c r="E536" t="inlineStr">
        <is>
          <t>OSKARSHAMN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45450-2022</t>
        </is>
      </c>
      <c r="B537" s="1" t="n">
        <v>44841</v>
      </c>
      <c r="C537" s="1" t="n">
        <v>45638</v>
      </c>
      <c r="D537" t="inlineStr">
        <is>
          <t>KALMAR LÄN</t>
        </is>
      </c>
      <c r="E537" t="inlineStr">
        <is>
          <t>OSKARSHAMN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46794-2022</t>
        </is>
      </c>
      <c r="B538" s="1" t="n">
        <v>44851</v>
      </c>
      <c r="C538" s="1" t="n">
        <v>45638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46811-2022</t>
        </is>
      </c>
      <c r="B539" s="1" t="n">
        <v>44851</v>
      </c>
      <c r="C539" s="1" t="n">
        <v>45638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47129-2022</t>
        </is>
      </c>
      <c r="B540" s="1" t="n">
        <v>44852</v>
      </c>
      <c r="C540" s="1" t="n">
        <v>45638</v>
      </c>
      <c r="D540" t="inlineStr">
        <is>
          <t>KALMAR LÄN</t>
        </is>
      </c>
      <c r="E540" t="inlineStr">
        <is>
          <t>OSKARSHAMN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47843-2022</t>
        </is>
      </c>
      <c r="B541" s="1" t="n">
        <v>44855</v>
      </c>
      <c r="C541" s="1" t="n">
        <v>45638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48415-2022</t>
        </is>
      </c>
      <c r="B542" s="1" t="n">
        <v>44858</v>
      </c>
      <c r="C542" s="1" t="n">
        <v>45638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49078-2022</t>
        </is>
      </c>
      <c r="B543" s="1" t="n">
        <v>44860</v>
      </c>
      <c r="C543" s="1" t="n">
        <v>45638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49429-2022</t>
        </is>
      </c>
      <c r="B544" s="1" t="n">
        <v>44861</v>
      </c>
      <c r="C544" s="1" t="n">
        <v>45638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49773-2022</t>
        </is>
      </c>
      <c r="B545" s="1" t="n">
        <v>44862</v>
      </c>
      <c r="C545" s="1" t="n">
        <v>45638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49804-2022</t>
        </is>
      </c>
      <c r="B546" s="1" t="n">
        <v>44862</v>
      </c>
      <c r="C546" s="1" t="n">
        <v>45638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49909-2022</t>
        </is>
      </c>
      <c r="B547" s="1" t="n">
        <v>44865</v>
      </c>
      <c r="C547" s="1" t="n">
        <v>45638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50169-2022</t>
        </is>
      </c>
      <c r="B548" s="1" t="n">
        <v>44865</v>
      </c>
      <c r="C548" s="1" t="n">
        <v>45638</v>
      </c>
      <c r="D548" t="inlineStr">
        <is>
          <t>KALMAR LÄN</t>
        </is>
      </c>
      <c r="E548" t="inlineStr">
        <is>
          <t>OSKARSHAMN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50262-2022</t>
        </is>
      </c>
      <c r="B549" s="1" t="n">
        <v>44865</v>
      </c>
      <c r="C549" s="1" t="n">
        <v>45638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50291-2022</t>
        </is>
      </c>
      <c r="B550" s="1" t="n">
        <v>44865</v>
      </c>
      <c r="C550" s="1" t="n">
        <v>45638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50918-2022</t>
        </is>
      </c>
      <c r="B551" s="1" t="n">
        <v>44865</v>
      </c>
      <c r="C551" s="1" t="n">
        <v>45638</v>
      </c>
      <c r="D551" t="inlineStr">
        <is>
          <t>KALMAR LÄN</t>
        </is>
      </c>
      <c r="E551" t="inlineStr">
        <is>
          <t>OSKARSHAMN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50933-2022</t>
        </is>
      </c>
      <c r="B552" s="1" t="n">
        <v>44865</v>
      </c>
      <c r="C552" s="1" t="n">
        <v>45638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50922-2022</t>
        </is>
      </c>
      <c r="B553" s="1" t="n">
        <v>44865</v>
      </c>
      <c r="C553" s="1" t="n">
        <v>45638</v>
      </c>
      <c r="D553" t="inlineStr">
        <is>
          <t>KALMAR LÄN</t>
        </is>
      </c>
      <c r="E553" t="inlineStr">
        <is>
          <t>OSKARSHAMN</t>
        </is>
      </c>
      <c r="F553" t="inlineStr">
        <is>
          <t>Övriga Aktiebolag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50536-2022</t>
        </is>
      </c>
      <c r="B554" s="1" t="n">
        <v>44866</v>
      </c>
      <c r="C554" s="1" t="n">
        <v>45638</v>
      </c>
      <c r="D554" t="inlineStr">
        <is>
          <t>KALMAR LÄN</t>
        </is>
      </c>
      <c r="E554" t="inlineStr">
        <is>
          <t>OSKARSHAMN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50533-2022</t>
        </is>
      </c>
      <c r="B555" s="1" t="n">
        <v>44866</v>
      </c>
      <c r="C555" s="1" t="n">
        <v>45638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51070-2022</t>
        </is>
      </c>
      <c r="B556" s="1" t="n">
        <v>44868</v>
      </c>
      <c r="C556" s="1" t="n">
        <v>45638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51079-2022</t>
        </is>
      </c>
      <c r="B557" s="1" t="n">
        <v>44868</v>
      </c>
      <c r="C557" s="1" t="n">
        <v>45638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51461-2022</t>
        </is>
      </c>
      <c r="B558" s="1" t="n">
        <v>44869</v>
      </c>
      <c r="C558" s="1" t="n">
        <v>45638</v>
      </c>
      <c r="D558" t="inlineStr">
        <is>
          <t>KALMAR LÄN</t>
        </is>
      </c>
      <c r="E558" t="inlineStr">
        <is>
          <t>OSKARSHAMN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51756-2022</t>
        </is>
      </c>
      <c r="B559" s="1" t="n">
        <v>44872</v>
      </c>
      <c r="C559" s="1" t="n">
        <v>45638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52073-2022</t>
        </is>
      </c>
      <c r="B560" s="1" t="n">
        <v>44873</v>
      </c>
      <c r="C560" s="1" t="n">
        <v>45638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52609-2022</t>
        </is>
      </c>
      <c r="B561" s="1" t="n">
        <v>44874</v>
      </c>
      <c r="C561" s="1" t="n">
        <v>45638</v>
      </c>
      <c r="D561" t="inlineStr">
        <is>
          <t>KALMAR LÄN</t>
        </is>
      </c>
      <c r="E561" t="inlineStr">
        <is>
          <t>OSKARSHAMN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52976-2022</t>
        </is>
      </c>
      <c r="B562" s="1" t="n">
        <v>44875</v>
      </c>
      <c r="C562" s="1" t="n">
        <v>45638</v>
      </c>
      <c r="D562" t="inlineStr">
        <is>
          <t>KALMAR LÄN</t>
        </is>
      </c>
      <c r="E562" t="inlineStr">
        <is>
          <t>OSKARSHAMN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53530-2022</t>
        </is>
      </c>
      <c r="B563" s="1" t="n">
        <v>44879</v>
      </c>
      <c r="C563" s="1" t="n">
        <v>45638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56038-2022</t>
        </is>
      </c>
      <c r="B564" s="1" t="n">
        <v>44889</v>
      </c>
      <c r="C564" s="1" t="n">
        <v>45638</v>
      </c>
      <c r="D564" t="inlineStr">
        <is>
          <t>KALMAR LÄN</t>
        </is>
      </c>
      <c r="E564" t="inlineStr">
        <is>
          <t>OSKARSHAMN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57411-2022</t>
        </is>
      </c>
      <c r="B565" s="1" t="n">
        <v>44889</v>
      </c>
      <c r="C565" s="1" t="n">
        <v>45638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58095-2022</t>
        </is>
      </c>
      <c r="B566" s="1" t="n">
        <v>44900</v>
      </c>
      <c r="C566" s="1" t="n">
        <v>45638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61122-2022</t>
        </is>
      </c>
      <c r="B567" s="1" t="n">
        <v>44908</v>
      </c>
      <c r="C567" s="1" t="n">
        <v>45638</v>
      </c>
      <c r="D567" t="inlineStr">
        <is>
          <t>KALMAR LÄN</t>
        </is>
      </c>
      <c r="E567" t="inlineStr">
        <is>
          <t>OSKARSHAMN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60388-2022</t>
        </is>
      </c>
      <c r="B568" s="1" t="n">
        <v>44910</v>
      </c>
      <c r="C568" s="1" t="n">
        <v>45638</v>
      </c>
      <c r="D568" t="inlineStr">
        <is>
          <t>KALMAR LÄN</t>
        </is>
      </c>
      <c r="E568" t="inlineStr">
        <is>
          <t>OSKARSHAMN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60386-2022</t>
        </is>
      </c>
      <c r="B569" s="1" t="n">
        <v>44910</v>
      </c>
      <c r="C569" s="1" t="n">
        <v>45638</v>
      </c>
      <c r="D569" t="inlineStr">
        <is>
          <t>KALMAR LÄN</t>
        </is>
      </c>
      <c r="E569" t="inlineStr">
        <is>
          <t>OSKARSHAMN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60905-2022</t>
        </is>
      </c>
      <c r="B570" s="1" t="n">
        <v>44914</v>
      </c>
      <c r="C570" s="1" t="n">
        <v>45638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60871-2022</t>
        </is>
      </c>
      <c r="B571" s="1" t="n">
        <v>44914</v>
      </c>
      <c r="C571" s="1" t="n">
        <v>45638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61318-2022</t>
        </is>
      </c>
      <c r="B572" s="1" t="n">
        <v>44915</v>
      </c>
      <c r="C572" s="1" t="n">
        <v>45638</v>
      </c>
      <c r="D572" t="inlineStr">
        <is>
          <t>KALMAR LÄN</t>
        </is>
      </c>
      <c r="E572" t="inlineStr">
        <is>
          <t>OSKARSHAMN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61339-2022</t>
        </is>
      </c>
      <c r="B573" s="1" t="n">
        <v>44915</v>
      </c>
      <c r="C573" s="1" t="n">
        <v>45638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61676-2022</t>
        </is>
      </c>
      <c r="B574" s="1" t="n">
        <v>44917</v>
      </c>
      <c r="C574" s="1" t="n">
        <v>45638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61862-2022</t>
        </is>
      </c>
      <c r="B575" s="1" t="n">
        <v>44917</v>
      </c>
      <c r="C575" s="1" t="n">
        <v>45638</v>
      </c>
      <c r="D575" t="inlineStr">
        <is>
          <t>KALMAR LÄN</t>
        </is>
      </c>
      <c r="E575" t="inlineStr">
        <is>
          <t>OSKARSHAMN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61848-2022</t>
        </is>
      </c>
      <c r="B576" s="1" t="n">
        <v>44917</v>
      </c>
      <c r="C576" s="1" t="n">
        <v>45638</v>
      </c>
      <c r="D576" t="inlineStr">
        <is>
          <t>KALMAR LÄN</t>
        </is>
      </c>
      <c r="E576" t="inlineStr">
        <is>
          <t>OSKARSHAMN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61854-2022</t>
        </is>
      </c>
      <c r="B577" s="1" t="n">
        <v>44917</v>
      </c>
      <c r="C577" s="1" t="n">
        <v>45638</v>
      </c>
      <c r="D577" t="inlineStr">
        <is>
          <t>KALMAR LÄN</t>
        </is>
      </c>
      <c r="E577" t="inlineStr">
        <is>
          <t>OSKARSHAMN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1777-2023</t>
        </is>
      </c>
      <c r="B578" s="1" t="n">
        <v>44938</v>
      </c>
      <c r="C578" s="1" t="n">
        <v>45638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2587-2023</t>
        </is>
      </c>
      <c r="B579" s="1" t="n">
        <v>44943</v>
      </c>
      <c r="C579" s="1" t="n">
        <v>45638</v>
      </c>
      <c r="D579" t="inlineStr">
        <is>
          <t>KALMAR LÄN</t>
        </is>
      </c>
      <c r="E579" t="inlineStr">
        <is>
          <t>OSKARSHAMN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2841-2023</t>
        </is>
      </c>
      <c r="B580" s="1" t="n">
        <v>44945</v>
      </c>
      <c r="C580" s="1" t="n">
        <v>45638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2906-2023</t>
        </is>
      </c>
      <c r="B581" s="1" t="n">
        <v>44945</v>
      </c>
      <c r="C581" s="1" t="n">
        <v>45638</v>
      </c>
      <c r="D581" t="inlineStr">
        <is>
          <t>KALMAR LÄN</t>
        </is>
      </c>
      <c r="E581" t="inlineStr">
        <is>
          <t>OSKARSHAMN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3160-2023</t>
        </is>
      </c>
      <c r="B582" s="1" t="n">
        <v>44946</v>
      </c>
      <c r="C582" s="1" t="n">
        <v>45638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3159-2023</t>
        </is>
      </c>
      <c r="B583" s="1" t="n">
        <v>44946</v>
      </c>
      <c r="C583" s="1" t="n">
        <v>45638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3830-2023</t>
        </is>
      </c>
      <c r="B584" s="1" t="n">
        <v>44951</v>
      </c>
      <c r="C584" s="1" t="n">
        <v>45638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3820-2023</t>
        </is>
      </c>
      <c r="B585" s="1" t="n">
        <v>44951</v>
      </c>
      <c r="C585" s="1" t="n">
        <v>45638</v>
      </c>
      <c r="D585" t="inlineStr">
        <is>
          <t>KALMAR LÄN</t>
        </is>
      </c>
      <c r="E585" t="inlineStr">
        <is>
          <t>OSKARSHAMN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3837-2023</t>
        </is>
      </c>
      <c r="B586" s="1" t="n">
        <v>44951</v>
      </c>
      <c r="C586" s="1" t="n">
        <v>45638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3880-2023</t>
        </is>
      </c>
      <c r="B587" s="1" t="n">
        <v>44951</v>
      </c>
      <c r="C587" s="1" t="n">
        <v>45638</v>
      </c>
      <c r="D587" t="inlineStr">
        <is>
          <t>KALMAR LÄN</t>
        </is>
      </c>
      <c r="E587" t="inlineStr">
        <is>
          <t>OSKARSHAMN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4049-2023</t>
        </is>
      </c>
      <c r="B588" s="1" t="n">
        <v>44952</v>
      </c>
      <c r="C588" s="1" t="n">
        <v>45638</v>
      </c>
      <c r="D588" t="inlineStr">
        <is>
          <t>KALMAR LÄN</t>
        </is>
      </c>
      <c r="E588" t="inlineStr">
        <is>
          <t>OSKARSHAMN</t>
        </is>
      </c>
      <c r="F588" t="inlineStr">
        <is>
          <t>Kommuner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4635-2023</t>
        </is>
      </c>
      <c r="B589" s="1" t="n">
        <v>44952</v>
      </c>
      <c r="C589" s="1" t="n">
        <v>45638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45638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45638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45638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45638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45638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45638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45638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45638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45638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45638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45638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45638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45638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45638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45638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45638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45638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45638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45638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45638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45638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45638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45638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45638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45638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45638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45638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45638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45638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45638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45638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45638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45638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45638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45638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45638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45638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45638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45638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45638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45638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45638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45638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45638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45638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45638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45638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45638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45638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45638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45638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45638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45638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45638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45638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45638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45638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45638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45638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45638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45638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45638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45638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45638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45638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45638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45638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45638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45638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45638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45638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45638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45638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45638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45638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45638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45638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45638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45638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45638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45638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45638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45638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45638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45638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45638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45638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45638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45638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45638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45638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45638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45638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45638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45638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45638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45638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45638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45638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45638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45638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45638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45638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45638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45638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45638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45638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45638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45638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45638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45638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45638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45638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45638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45638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45638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45638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45638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45638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45638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45638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45638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45638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45638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45638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45638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45638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45638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45638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45638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45638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45638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45638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45638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45638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45638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45638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45638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45638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45638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45638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45638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45638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45638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45638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45638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45638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45638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45638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45638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45638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45638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45638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45638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45638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45638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45638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45638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45638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45638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45638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45638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45638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45638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45638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45638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45638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45638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45638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45638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45638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45638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45638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45638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45638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45638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45638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45638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45638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45638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45638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45638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45638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45638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45638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45638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45638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45638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45638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45638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45638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45638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45638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45638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45638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45638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45638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45638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45638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45638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45638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45638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45638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45638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45638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45638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45638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45638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45638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45638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45638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45638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45638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45638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45638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45638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45638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45638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45638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45638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45638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45638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45638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45638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45638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45638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45638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45638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45638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45638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45638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45638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45638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45638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45638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45638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45638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45638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45638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45638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45638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45638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45638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45638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45638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45638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45638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45638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45638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45638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45638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45638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45638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45638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45638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45638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45638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45638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45638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45638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45638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45638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45638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45638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45638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45638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45638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45638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45638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45638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45638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45638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45638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45638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45638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45638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45638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45638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45638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45638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45638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45638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45638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45638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45638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45638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45638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45638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45638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45638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45638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45638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45638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45638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45638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45638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45638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45638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45638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45638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45638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45638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45638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45638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45638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45638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45638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45638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45638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45638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45638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45638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45638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45638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45638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45638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45638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45638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45638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45638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45638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45638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45638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45638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45638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45638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45638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45638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45638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45638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45638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45638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45638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45638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45638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45638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45638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45638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45638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45638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45638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45638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45638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45638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45638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45638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45638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45638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45638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45638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45638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45638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45638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45638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45638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45638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45638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45638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45638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45638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45638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45638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45638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45638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45638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45638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45638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45638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45638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45638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45638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45638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45638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45638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45638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45638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45638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45638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45638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45638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45638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45638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45638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45638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45638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45638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45638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45638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45638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45638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45638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45638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45638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45638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45638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45638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45638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45638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45638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45638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45638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45638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45638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45638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45638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45638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45638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45638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45638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45638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45638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45638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45638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45638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45638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45638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45638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45638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45638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45638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45638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45638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45638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45638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45638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45638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45638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45638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45638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45638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45638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45638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45638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45638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45638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45638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45638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45638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45638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45638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45638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45638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45638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45638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45638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45638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45638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45638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45638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45638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45638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45638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45638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45638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45638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45638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45638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45638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45638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45638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45638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45638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45638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45638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45638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45638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45638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45638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45638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45638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45638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45638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45638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45638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45638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45638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45638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45638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45638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45638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45638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45638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45638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45638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45638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45638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45638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45638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45638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45638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45638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45638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45638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45638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45638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45638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45638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45638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45638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45638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45638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45638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45638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45638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45638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45638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45638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45638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45638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45638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45638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45638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45638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45638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45638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45638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45638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45638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45638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45638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45638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45638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45638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45638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45638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45638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45638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45638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45638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45638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45638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45638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45638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45638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45638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45638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45638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45638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45638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45638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45638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45638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45638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45638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45638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45638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45638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45638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45638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45638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45638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45638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45638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45638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45638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45638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45638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45638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45638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45638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45638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45638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45638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45638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45638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45638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45638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45638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45638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45638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45638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45638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45638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45638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45638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45638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45638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45638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45638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45638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45638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45638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45638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45638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45638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45638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45638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45638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45638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45638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45638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45638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45638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45638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45638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45638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45638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45638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45638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45638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45638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45638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45638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45638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45638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45638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45638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45638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45638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45638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45638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45638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45638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45638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45638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45638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45638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45638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45638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45638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50604-2024</t>
        </is>
      </c>
      <c r="B1210" s="1" t="n">
        <v>45601</v>
      </c>
      <c r="C1210" s="1" t="n">
        <v>45638</v>
      </c>
      <c r="D1210" t="inlineStr">
        <is>
          <t>KALMAR LÄN</t>
        </is>
      </c>
      <c r="E1210" t="inlineStr">
        <is>
          <t>OSKARSHAMN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45638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45638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45638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45638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51142-2024</t>
        </is>
      </c>
      <c r="B1215" s="1" t="n">
        <v>45603</v>
      </c>
      <c r="C1215" s="1" t="n">
        <v>45638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51076-2024</t>
        </is>
      </c>
      <c r="B1216" s="1" t="n">
        <v>45603</v>
      </c>
      <c r="C1216" s="1" t="n">
        <v>45638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45638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51141-2024</t>
        </is>
      </c>
      <c r="B1218" s="1" t="n">
        <v>45603</v>
      </c>
      <c r="C1218" s="1" t="n">
        <v>45638</v>
      </c>
      <c r="D1218" t="inlineStr">
        <is>
          <t>KALMAR LÄN</t>
        </is>
      </c>
      <c r="E1218" t="inlineStr">
        <is>
          <t>OSKARSHAMN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45638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45638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51737-2024</t>
        </is>
      </c>
      <c r="B1221" s="1" t="n">
        <v>45604</v>
      </c>
      <c r="C1221" s="1" t="n">
        <v>45638</v>
      </c>
      <c r="D1221" t="inlineStr">
        <is>
          <t>KALMAR LÄN</t>
        </is>
      </c>
      <c r="E1221" t="inlineStr">
        <is>
          <t>OSKARSHAMN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51802-2024</t>
        </is>
      </c>
      <c r="B1222" s="1" t="n">
        <v>45604</v>
      </c>
      <c r="C1222" s="1" t="n">
        <v>45638</v>
      </c>
      <c r="D1222" t="inlineStr">
        <is>
          <t>KALMAR LÄN</t>
        </is>
      </c>
      <c r="E1222" t="inlineStr">
        <is>
          <t>OSKARSHAMN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45638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51721-2024</t>
        </is>
      </c>
      <c r="B1224" s="1" t="n">
        <v>45604</v>
      </c>
      <c r="C1224" s="1" t="n">
        <v>45638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51744-2024</t>
        </is>
      </c>
      <c r="B1225" s="1" t="n">
        <v>45604</v>
      </c>
      <c r="C1225" s="1" t="n">
        <v>45638</v>
      </c>
      <c r="D1225" t="inlineStr">
        <is>
          <t>KALMAR LÄN</t>
        </is>
      </c>
      <c r="E1225" t="inlineStr">
        <is>
          <t>OSKARSHAMN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51731-2024</t>
        </is>
      </c>
      <c r="B1226" s="1" t="n">
        <v>45604</v>
      </c>
      <c r="C1226" s="1" t="n">
        <v>45638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51795-2024</t>
        </is>
      </c>
      <c r="B1227" s="1" t="n">
        <v>45604</v>
      </c>
      <c r="C1227" s="1" t="n">
        <v>45638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51766-2024</t>
        </is>
      </c>
      <c r="B1228" s="1" t="n">
        <v>45604</v>
      </c>
      <c r="C1228" s="1" t="n">
        <v>45638</v>
      </c>
      <c r="D1228" t="inlineStr">
        <is>
          <t>KALMAR LÄN</t>
        </is>
      </c>
      <c r="E1228" t="inlineStr">
        <is>
          <t>OSKARSHAMN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51974-2024</t>
        </is>
      </c>
      <c r="B1229" s="1" t="n">
        <v>45607</v>
      </c>
      <c r="C1229" s="1" t="n">
        <v>45638</v>
      </c>
      <c r="D1229" t="inlineStr">
        <is>
          <t>KALMAR LÄN</t>
        </is>
      </c>
      <c r="E1229" t="inlineStr">
        <is>
          <t>OSKARSHAMN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51787-2024</t>
        </is>
      </c>
      <c r="B1230" s="1" t="n">
        <v>45607</v>
      </c>
      <c r="C1230" s="1" t="n">
        <v>45638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51797-2024</t>
        </is>
      </c>
      <c r="B1231" s="1" t="n">
        <v>45607</v>
      </c>
      <c r="C1231" s="1" t="n">
        <v>45638</v>
      </c>
      <c r="D1231" t="inlineStr">
        <is>
          <t>KALMAR LÄN</t>
        </is>
      </c>
      <c r="E1231" t="inlineStr">
        <is>
          <t>OSKARSHAMN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51879-2024</t>
        </is>
      </c>
      <c r="B1232" s="1" t="n">
        <v>45607</v>
      </c>
      <c r="C1232" s="1" t="n">
        <v>45638</v>
      </c>
      <c r="D1232" t="inlineStr">
        <is>
          <t>KALMAR LÄN</t>
        </is>
      </c>
      <c r="E1232" t="inlineStr">
        <is>
          <t>OSKARSHAMN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51884-2024</t>
        </is>
      </c>
      <c r="B1233" s="1" t="n">
        <v>45607</v>
      </c>
      <c r="C1233" s="1" t="n">
        <v>45638</v>
      </c>
      <c r="D1233" t="inlineStr">
        <is>
          <t>KALMAR LÄN</t>
        </is>
      </c>
      <c r="E1233" t="inlineStr">
        <is>
          <t>OSKARSHAMN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51738-2024</t>
        </is>
      </c>
      <c r="B1234" s="1" t="n">
        <v>45607</v>
      </c>
      <c r="C1234" s="1" t="n">
        <v>45638</v>
      </c>
      <c r="D1234" t="inlineStr">
        <is>
          <t>KALMAR LÄN</t>
        </is>
      </c>
      <c r="E1234" t="inlineStr">
        <is>
          <t>OSKARSHAMN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45638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52699-2024</t>
        </is>
      </c>
      <c r="B1236" s="1" t="n">
        <v>45610</v>
      </c>
      <c r="C1236" s="1" t="n">
        <v>45638</v>
      </c>
      <c r="D1236" t="inlineStr">
        <is>
          <t>KALMAR LÄN</t>
        </is>
      </c>
      <c r="E1236" t="inlineStr">
        <is>
          <t>OSKARSHAMN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52703-2024</t>
        </is>
      </c>
      <c r="B1237" s="1" t="n">
        <v>45610</v>
      </c>
      <c r="C1237" s="1" t="n">
        <v>45638</v>
      </c>
      <c r="D1237" t="inlineStr">
        <is>
          <t>KALMAR LÄN</t>
        </is>
      </c>
      <c r="E1237" t="inlineStr">
        <is>
          <t>OSKARSHAMN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52727-2024</t>
        </is>
      </c>
      <c r="B1238" s="1" t="n">
        <v>45610</v>
      </c>
      <c r="C1238" s="1" t="n">
        <v>45638</v>
      </c>
      <c r="D1238" t="inlineStr">
        <is>
          <t>KALMAR LÄN</t>
        </is>
      </c>
      <c r="E1238" t="inlineStr">
        <is>
          <t>OSKARSHAMN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52731-2024</t>
        </is>
      </c>
      <c r="B1239" s="1" t="n">
        <v>45610</v>
      </c>
      <c r="C1239" s="1" t="n">
        <v>45638</v>
      </c>
      <c r="D1239" t="inlineStr">
        <is>
          <t>KALMAR LÄN</t>
        </is>
      </c>
      <c r="E1239" t="inlineStr">
        <is>
          <t>OSKARSHAMN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52701-2024</t>
        </is>
      </c>
      <c r="B1240" s="1" t="n">
        <v>45610</v>
      </c>
      <c r="C1240" s="1" t="n">
        <v>45638</v>
      </c>
      <c r="D1240" t="inlineStr">
        <is>
          <t>KALMAR LÄN</t>
        </is>
      </c>
      <c r="E1240" t="inlineStr">
        <is>
          <t>OSKARSHAMN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52728-2024</t>
        </is>
      </c>
      <c r="B1241" s="1" t="n">
        <v>45610</v>
      </c>
      <c r="C1241" s="1" t="n">
        <v>45638</v>
      </c>
      <c r="D1241" t="inlineStr">
        <is>
          <t>KALMAR LÄN</t>
        </is>
      </c>
      <c r="E1241" t="inlineStr">
        <is>
          <t>OSKARSHAMN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45638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45638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45638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45638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54633-2024</t>
        </is>
      </c>
      <c r="B1246" s="1" t="n">
        <v>45617</v>
      </c>
      <c r="C1246" s="1" t="n">
        <v>45638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54634-2024</t>
        </is>
      </c>
      <c r="B1247" s="1" t="n">
        <v>45617</v>
      </c>
      <c r="C1247" s="1" t="n">
        <v>45638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45638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45638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45638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45638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45638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56486-2024</t>
        </is>
      </c>
      <c r="B1253" s="1" t="n">
        <v>45625</v>
      </c>
      <c r="C1253" s="1" t="n">
        <v>45638</v>
      </c>
      <c r="D1253" t="inlineStr">
        <is>
          <t>KALMAR LÄN</t>
        </is>
      </c>
      <c r="E1253" t="inlineStr">
        <is>
          <t>OSKARSHAMN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56576-2024</t>
        </is>
      </c>
      <c r="B1254" s="1" t="n">
        <v>45625</v>
      </c>
      <c r="C1254" s="1" t="n">
        <v>45638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56579-2024</t>
        </is>
      </c>
      <c r="B1255" s="1" t="n">
        <v>45625</v>
      </c>
      <c r="C1255" s="1" t="n">
        <v>45638</v>
      </c>
      <c r="D1255" t="inlineStr">
        <is>
          <t>KALMAR LÄN</t>
        </is>
      </c>
      <c r="E1255" t="inlineStr">
        <is>
          <t>OSKARSHAMN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45638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58376-2024</t>
        </is>
      </c>
      <c r="B1257" s="1" t="n">
        <v>45632</v>
      </c>
      <c r="C1257" s="1" t="n">
        <v>45638</v>
      </c>
      <c r="D1257" t="inlineStr">
        <is>
          <t>KALMAR LÄN</t>
        </is>
      </c>
      <c r="E1257" t="inlineStr">
        <is>
          <t>OSKARSHAMN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58375-2024</t>
        </is>
      </c>
      <c r="B1258" s="1" t="n">
        <v>45632</v>
      </c>
      <c r="C1258" s="1" t="n">
        <v>45638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2024-12-12T15:47:14Z</dcterms:created>
  <dcterms:modified xmlns:dcterms="http://purl.org/dc/terms/" xmlns:xsi="http://www.w3.org/2001/XMLSchema-instance" xsi:type="dcterms:W3CDTF">2024-12-12T15:47:15Z</dcterms:modified>
</cp:coreProperties>
</file>