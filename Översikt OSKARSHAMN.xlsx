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46263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46263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9633-2025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45715</v>
      </c>
      <c r="E8" s="1" t="n">
        <v>46263</v>
      </c>
      <c r="F8" t="inlineStr">
        <is>
          <t>KALMAR LÄN</t>
        </is>
      </c>
      <c r="G8" t="inlineStr">
        <is>
          <t>OSKARSHAMN</t>
        </is>
      </c>
      <c r="I8" t="n">
        <v>3.5</v>
      </c>
      <c r="J8" t="n">
        <v>10</v>
      </c>
      <c r="K8" t="n">
        <v>0</v>
      </c>
      <c r="L8" t="n">
        <v>2</v>
      </c>
      <c r="M8" t="n">
        <v>1</v>
      </c>
      <c r="N8" t="n">
        <v>0</v>
      </c>
      <c r="O8" t="n">
        <v>1</v>
      </c>
      <c r="P8" t="n">
        <v>0</v>
      </c>
      <c r="Q8" t="n">
        <v>4</v>
      </c>
      <c r="R8" t="n">
        <v>2</v>
      </c>
      <c r="S8" t="n">
        <v>11</v>
      </c>
      <c r="T8" t="n">
        <v>18</v>
      </c>
      <c r="U8" t="n">
        <v>18</v>
      </c>
      <c r="V8" s="2" t="inlineStr">
        <is>
          <t>Kritsuga
Grönfink
Mindre hackspett
Sårläka
Blåsippa
Nattskärra
Spillkråka
Hasselmus
Ärtsångare
Vanlig padda
Gullviva</t>
        </is>
      </c>
      <c r="W8">
        <f>HYPERLINK("https://klasma.github.io/Logging_0882/artfynd/A 9633-2025 artfynd.xlsx", "A 9633-2025")</f>
        <v/>
      </c>
      <c r="X8">
        <f>HYPERLINK("https://klasma.github.io/Logging_0882/kartor/A 9633-2025 karta.png", "A 9633-2025")</f>
        <v/>
      </c>
      <c r="Y8">
        <f>HYPERLINK("https://klasma.github.io/Logging_0882/kartor_geotiff/A 9633-2025 georefererad karta.tif", "A 9633-2025")</f>
        <v/>
      </c>
      <c r="AA8">
        <f>HYPERLINK("https://klasma.github.io/Logging_0882/klagomål/A 9633-2025 FSC-klagomål.docx", "A 9633-2025")</f>
        <v/>
      </c>
      <c r="AB8">
        <f>HYPERLINK("https://klasma.github.io/Logging_0882/klagomålsmail/A 9633-2025 FSC-klagomål mail.docx", "A 9633-2025")</f>
        <v/>
      </c>
      <c r="AC8">
        <f>HYPERLINK("https://klasma.github.io/Logging_0882/tillsyn/A 9633-2025 tillsynsbegäran.docx", "A 9633-2025")</f>
        <v/>
      </c>
      <c r="AD8">
        <f>HYPERLINK("https://klasma.github.io/Logging_0882/tillsynsmail/A 9633-2025 tillsynsbegäran mail.docx", "A 9633-2025")</f>
        <v/>
      </c>
      <c r="AE8">
        <f>HYPERLINK("https://klasma.github.io/Logging_0882/fåglar/A 9633-2025 prioriterade fågelarter.docx", "A 9633-2025")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46263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46263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46263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46263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46263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46263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46263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46263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46263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46263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46263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46263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46263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46263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46263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46263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46263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46263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46263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46263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46263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46263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46263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46263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46263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46263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46263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46263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46263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46263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42443-2023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45175</v>
      </c>
      <c r="E49" s="1" t="n">
        <v>46263</v>
      </c>
      <c r="F49" t="inlineStr">
        <is>
          <t>KALMAR LÄN</t>
        </is>
      </c>
      <c r="G49" t="inlineStr">
        <is>
          <t>OSKARSHAMN</t>
        </is>
      </c>
      <c r="I49" t="n">
        <v>11.4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Blåmossa</t>
        </is>
      </c>
      <c r="W49">
        <f>HYPERLINK("https://klasma.github.io/Logging_0882/artfynd/A 42443-2023 artfynd.xlsx", "A 42443-2023")</f>
        <v/>
      </c>
      <c r="X49">
        <f>HYPERLINK("https://klasma.github.io/Logging_0882/kartor/A 42443-2023 karta.png", "A 42443-2023")</f>
        <v/>
      </c>
      <c r="Y49">
        <f>HYPERLINK("https://klasma.github.io/Logging_0882/kartor_geotiff/A 42443-2023 georefererad karta.tif", "A 42443-2023")</f>
        <v/>
      </c>
      <c r="AA49">
        <f>HYPERLINK("https://klasma.github.io/Logging_0882/klagomål/A 42443-2023 FSC-klagomål.docx", "A 42443-2023")</f>
        <v/>
      </c>
      <c r="AB49">
        <f>HYPERLINK("https://klasma.github.io/Logging_0882/klagomålsmail/A 42443-2023 FSC-klagomål mail.docx", "A 42443-2023")</f>
        <v/>
      </c>
      <c r="AC49">
        <f>HYPERLINK("https://klasma.github.io/Logging_0882/tillsyn/A 42443-2023 tillsynsbegäran.docx", "A 42443-2023")</f>
        <v/>
      </c>
      <c r="AD49">
        <f>HYPERLINK("https://klasma.github.io/Logging_0882/tillsynsmail/A 42443-2023 tillsynsbegäran mail.docx", "A 42443-2023")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46263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46263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46263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46263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46263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46263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46263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46263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46263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46263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46263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46263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46263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46263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46263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46263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46263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46263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46263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46263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46263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46263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46263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46263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46263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46263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46263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46263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46263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46263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46263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46263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46263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46263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46263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46263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46263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46263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46263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46263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46263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46263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46263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46263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46263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46263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46263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46263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46263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46263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46263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46263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46263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46263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46263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46263</v>
      </c>
      <c r="F106" t="inlineStr">
        <is>
          <t>KALMAR LÄN</t>
        </is>
      </c>
      <c r="G106" t="inlineStr">
        <is>
          <t>OSKARSHAMN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44593</v>
      </c>
      <c r="E107" s="1" t="n">
        <v>46263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46263</v>
      </c>
      <c r="F108" t="inlineStr">
        <is>
          <t>KALMAR LÄN</t>
        </is>
      </c>
      <c r="G108" t="inlineStr">
        <is>
          <t>OSKARSHAMN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46263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46263</v>
      </c>
      <c r="F110" t="inlineStr">
        <is>
          <t>KALMAR LÄN</t>
        </is>
      </c>
      <c r="G110" t="inlineStr">
        <is>
          <t>OSKARSHAMN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46263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46263</v>
      </c>
      <c r="F112" t="inlineStr">
        <is>
          <t>KALMAR LÄN</t>
        </is>
      </c>
      <c r="G112" t="inlineStr">
        <is>
          <t>OSKARSHAMN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46263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46263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46263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46263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46263</v>
      </c>
      <c r="F117" t="inlineStr">
        <is>
          <t>KALMAR LÄN</t>
        </is>
      </c>
      <c r="G117" t="inlineStr">
        <is>
          <t>OSKARSHAMN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45691</v>
      </c>
      <c r="E118" s="1" t="n">
        <v>46263</v>
      </c>
      <c r="F118" t="inlineStr">
        <is>
          <t>KALMAR LÄN</t>
        </is>
      </c>
      <c r="G118" t="inlineStr">
        <is>
          <t>OSKARSHAMN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45105</v>
      </c>
      <c r="E119" s="1" t="n">
        <v>46263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46263</v>
      </c>
      <c r="F120" t="inlineStr">
        <is>
          <t>KALMAR LÄN</t>
        </is>
      </c>
      <c r="G120" t="inlineStr">
        <is>
          <t>OSKARSHAMN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49889-2021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46263</v>
      </c>
      <c r="F121" t="inlineStr">
        <is>
          <t>KALMAR LÄN</t>
        </is>
      </c>
      <c r="G121" t="inlineStr">
        <is>
          <t>OSKARSHAMN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46263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46263</v>
      </c>
      <c r="F123" t="inlineStr">
        <is>
          <t>KALMAR LÄN</t>
        </is>
      </c>
      <c r="G123" t="inlineStr">
        <is>
          <t>OSKARSHAMN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46263</v>
      </c>
      <c r="F124" t="inlineStr">
        <is>
          <t>KALMAR LÄN</t>
        </is>
      </c>
      <c r="G124" t="inlineStr">
        <is>
          <t>OSKARSHAMN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46263</v>
      </c>
      <c r="F125" t="inlineStr">
        <is>
          <t>KALMAR LÄN</t>
        </is>
      </c>
      <c r="G125" t="inlineStr">
        <is>
          <t>OSKARSHAMN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49592-2021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46263</v>
      </c>
      <c r="F126" t="inlineStr">
        <is>
          <t>KALMAR LÄN</t>
        </is>
      </c>
      <c r="G126" t="inlineStr">
        <is>
          <t>OSKARSHAMN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45216</v>
      </c>
      <c r="E127" s="1" t="n">
        <v>46263</v>
      </c>
      <c r="F127" t="inlineStr">
        <is>
          <t>KALMAR LÄN</t>
        </is>
      </c>
      <c r="G127" t="inlineStr">
        <is>
          <t>OSKARSHAMN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44443</v>
      </c>
      <c r="E128" s="1" t="n">
        <v>46263</v>
      </c>
      <c r="F128" t="inlineStr">
        <is>
          <t>KALMAR LÄN</t>
        </is>
      </c>
      <c r="G128" t="inlineStr">
        <is>
          <t>OSKARSHAMN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45233</v>
      </c>
      <c r="E129" s="1" t="n">
        <v>46263</v>
      </c>
      <c r="F129" t="inlineStr">
        <is>
          <t>KALMAR LÄN</t>
        </is>
      </c>
      <c r="G129" t="inlineStr">
        <is>
          <t>OSKARSHAMN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46263</v>
      </c>
      <c r="F130" t="inlineStr">
        <is>
          <t>KALMAR LÄN</t>
        </is>
      </c>
      <c r="G130" t="inlineStr">
        <is>
          <t>OSKARSHAMN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46263</v>
      </c>
      <c r="F131" t="inlineStr">
        <is>
          <t>KALMAR LÄN</t>
        </is>
      </c>
      <c r="G131" t="inlineStr">
        <is>
          <t>OSKARSHAMN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46263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46263</v>
      </c>
      <c r="F133" t="inlineStr">
        <is>
          <t>KALMAR LÄN</t>
        </is>
      </c>
      <c r="G133" t="inlineStr">
        <is>
          <t>OSKARSHAMN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46263</v>
      </c>
      <c r="F134" t="inlineStr">
        <is>
          <t>KALMAR LÄN</t>
        </is>
      </c>
      <c r="G134" t="inlineStr">
        <is>
          <t>OSKARSHAMN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46263</v>
      </c>
      <c r="F135" t="inlineStr">
        <is>
          <t>KALMAR LÄN</t>
        </is>
      </c>
      <c r="G135" t="inlineStr">
        <is>
          <t>OSKARSHAMN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46263</v>
      </c>
      <c r="F136" t="inlineStr">
        <is>
          <t>KALMAR LÄN</t>
        </is>
      </c>
      <c r="G136" t="inlineStr">
        <is>
          <t>OSKARSHAMN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45525</v>
      </c>
      <c r="E137" s="1" t="n">
        <v>46263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46263</v>
      </c>
      <c r="F138" t="inlineStr">
        <is>
          <t>KALMAR LÄN</t>
        </is>
      </c>
      <c r="G138" t="inlineStr">
        <is>
          <t>OSKARSHAMN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46263</v>
      </c>
      <c r="F139" t="inlineStr">
        <is>
          <t>KALMAR LÄN</t>
        </is>
      </c>
      <c r="G139" t="inlineStr">
        <is>
          <t>OSKARSHAMN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45493-2021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44440</v>
      </c>
      <c r="E140" s="1" t="n">
        <v>46263</v>
      </c>
      <c r="F140" t="inlineStr">
        <is>
          <t>KALMAR LÄN</t>
        </is>
      </c>
      <c r="G140" t="inlineStr">
        <is>
          <t>OSKARSHAMN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46263</v>
      </c>
      <c r="F141" t="inlineStr">
        <is>
          <t>KALMAR LÄN</t>
        </is>
      </c>
      <c r="G141" t="inlineStr">
        <is>
          <t>OSKARSHAMN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46263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46263</v>
      </c>
      <c r="F143" t="inlineStr">
        <is>
          <t>KALMAR LÄN</t>
        </is>
      </c>
      <c r="G143" t="inlineStr">
        <is>
          <t>OSKARSHAMN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46263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46263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46263</v>
      </c>
      <c r="F146" t="inlineStr">
        <is>
          <t>KALMAR LÄN</t>
        </is>
      </c>
      <c r="G146" t="inlineStr">
        <is>
          <t>OSKARSHAMN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46263</v>
      </c>
      <c r="F147" t="inlineStr">
        <is>
          <t>KALMAR LÄN</t>
        </is>
      </c>
      <c r="G147" t="inlineStr">
        <is>
          <t>OSKARSHAMN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46263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45323</v>
      </c>
      <c r="E149" s="1" t="n">
        <v>46263</v>
      </c>
      <c r="F149" t="inlineStr">
        <is>
          <t>KALMAR LÄN</t>
        </is>
      </c>
      <c r="G149" t="inlineStr">
        <is>
          <t>OSKARSHAMN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46263</v>
      </c>
      <c r="F150" t="inlineStr">
        <is>
          <t>KALMAR LÄN</t>
        </is>
      </c>
      <c r="G150" t="inlineStr">
        <is>
          <t>OSKARSHAMN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46263</v>
      </c>
      <c r="F151" t="inlineStr">
        <is>
          <t>KALMAR LÄN</t>
        </is>
      </c>
      <c r="G151" t="inlineStr">
        <is>
          <t>OSKARSHAMN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46263</v>
      </c>
      <c r="F152" t="inlineStr">
        <is>
          <t>KALMAR LÄN</t>
        </is>
      </c>
      <c r="G152" t="inlineStr">
        <is>
          <t>OSKARSHAMN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46263</v>
      </c>
      <c r="F153" t="inlineStr">
        <is>
          <t>KALMAR LÄN</t>
        </is>
      </c>
      <c r="G153" t="inlineStr">
        <is>
          <t>OSKARSHAMN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46263</v>
      </c>
      <c r="F154" t="inlineStr">
        <is>
          <t>KALMAR LÄN</t>
        </is>
      </c>
      <c r="G154" t="inlineStr">
        <is>
          <t>OSKARSHAMN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46263</v>
      </c>
      <c r="F155" t="inlineStr">
        <is>
          <t>KALMAR LÄN</t>
        </is>
      </c>
      <c r="G155" t="inlineStr">
        <is>
          <t>OSKARSHAMN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45483</v>
      </c>
      <c r="E156" s="1" t="n">
        <v>46263</v>
      </c>
      <c r="F156" t="inlineStr">
        <is>
          <t>KALMAR LÄN</t>
        </is>
      </c>
      <c r="G156" t="inlineStr">
        <is>
          <t>OSKARSHAMN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51383-2021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46263</v>
      </c>
      <c r="F157" t="inlineStr">
        <is>
          <t>KALMAR LÄN</t>
        </is>
      </c>
      <c r="G157" t="inlineStr">
        <is>
          <t>OSKARSHAMN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45902</v>
      </c>
      <c r="E158" s="1" t="n">
        <v>46263</v>
      </c>
      <c r="F158" t="inlineStr">
        <is>
          <t>KALMAR LÄN</t>
        </is>
      </c>
      <c r="G158" t="inlineStr">
        <is>
          <t>OSKARSHAMN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42751-2025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45908</v>
      </c>
      <c r="E159" s="1" t="n">
        <v>46263</v>
      </c>
      <c r="F159" t="inlineStr">
        <is>
          <t>KALMAR LÄN</t>
        </is>
      </c>
      <c r="G159" t="inlineStr">
        <is>
          <t>OSKARSHAMN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46263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45490</v>
      </c>
      <c r="E161" s="1" t="n">
        <v>46263</v>
      </c>
      <c r="F161" t="inlineStr">
        <is>
          <t>KALMAR LÄN</t>
        </is>
      </c>
      <c r="G161" t="inlineStr">
        <is>
          <t>OSKARSHAMN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42693-2025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45908</v>
      </c>
      <c r="E162" s="1" t="n">
        <v>46263</v>
      </c>
      <c r="F162" t="inlineStr">
        <is>
          <t>KALMAR LÄN</t>
        </is>
      </c>
      <c r="G162" t="inlineStr">
        <is>
          <t>OSKARSHAMN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45482</v>
      </c>
      <c r="E163" s="1" t="n">
        <v>46263</v>
      </c>
      <c r="F163" t="inlineStr">
        <is>
          <t>KALMAR LÄN</t>
        </is>
      </c>
      <c r="G163" t="inlineStr">
        <is>
          <t>OSKARSHAMN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46263</v>
      </c>
      <c r="F164" t="inlineStr">
        <is>
          <t>KALMAR LÄN</t>
        </is>
      </c>
      <c r="G164" t="inlineStr">
        <is>
          <t>OSKARSHAMN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46263</v>
      </c>
      <c r="F165" t="inlineStr">
        <is>
          <t>KALMAR LÄN</t>
        </is>
      </c>
      <c r="G165" t="inlineStr">
        <is>
          <t>OSKARSHAMN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46263</v>
      </c>
      <c r="F166" t="inlineStr">
        <is>
          <t>KALMAR LÄN</t>
        </is>
      </c>
      <c r="G166" t="inlineStr">
        <is>
          <t>OSKARSHAMN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45530</v>
      </c>
      <c r="E167" s="1" t="n">
        <v>46263</v>
      </c>
      <c r="F167" t="inlineStr">
        <is>
          <t>KALMAR LÄN</t>
        </is>
      </c>
      <c r="G167" t="inlineStr">
        <is>
          <t>OSKARSHAMN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46263</v>
      </c>
      <c r="F168" t="inlineStr">
        <is>
          <t>KALMAR LÄN</t>
        </is>
      </c>
      <c r="G168" t="inlineStr">
        <is>
          <t>OSKARSHAMN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44602</v>
      </c>
      <c r="E169" s="1" t="n">
        <v>46263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45489</v>
      </c>
      <c r="E170" s="1" t="n">
        <v>46263</v>
      </c>
      <c r="F170" t="inlineStr">
        <is>
          <t>KALMAR LÄN</t>
        </is>
      </c>
      <c r="G170" t="inlineStr">
        <is>
          <t>OSKARSHAMN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45978</v>
      </c>
      <c r="E171" s="1" t="n">
        <v>46263</v>
      </c>
      <c r="F171" t="inlineStr">
        <is>
          <t>KALMAR LÄN</t>
        </is>
      </c>
      <c r="G171" t="inlineStr">
        <is>
          <t>OSKARSHAMN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46263</v>
      </c>
      <c r="F172" t="inlineStr">
        <is>
          <t>KALMAR LÄN</t>
        </is>
      </c>
      <c r="G172" t="inlineStr">
        <is>
          <t>OSKARSHAMN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46263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46263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46263</v>
      </c>
      <c r="F175" t="inlineStr">
        <is>
          <t>KALMAR LÄN</t>
        </is>
      </c>
      <c r="G175" t="inlineStr">
        <is>
          <t>OSKARSHAMN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44656</v>
      </c>
      <c r="E176" s="1" t="n">
        <v>46263</v>
      </c>
      <c r="F176" t="inlineStr">
        <is>
          <t>KALMAR LÄN</t>
        </is>
      </c>
      <c r="G176" t="inlineStr">
        <is>
          <t>OSKARSHAMN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46263</v>
      </c>
      <c r="F177" t="inlineStr">
        <is>
          <t>KALMAR LÄN</t>
        </is>
      </c>
      <c r="G177" t="inlineStr">
        <is>
          <t>OSKARSHAMN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45526</v>
      </c>
      <c r="E178" s="1" t="n">
        <v>46263</v>
      </c>
      <c r="F178" t="inlineStr">
        <is>
          <t>KALMAR LÄN</t>
        </is>
      </c>
      <c r="G178" t="inlineStr">
        <is>
          <t>OSKARSHAMN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46263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26127-2025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45805</v>
      </c>
      <c r="E180" s="1" t="n">
        <v>46263</v>
      </c>
      <c r="F180" t="inlineStr">
        <is>
          <t>KALMAR LÄN</t>
        </is>
      </c>
      <c r="G180" t="inlineStr">
        <is>
          <t>OSKARSHAMN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46263</v>
      </c>
      <c r="F181" t="inlineStr">
        <is>
          <t>KALMAR LÄN</t>
        </is>
      </c>
      <c r="G181" t="inlineStr">
        <is>
          <t>OSKARSHAMN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46263</v>
      </c>
      <c r="F182" t="inlineStr">
        <is>
          <t>KALMAR LÄN</t>
        </is>
      </c>
      <c r="G182" t="inlineStr">
        <is>
          <t>OSKARSHAMN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46263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46263</v>
      </c>
      <c r="F184" t="inlineStr">
        <is>
          <t>KALMAR LÄN</t>
        </is>
      </c>
      <c r="G184" t="inlineStr">
        <is>
          <t>OSKARSHAMN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46263</v>
      </c>
      <c r="F185" t="inlineStr">
        <is>
          <t>KALMAR LÄN</t>
        </is>
      </c>
      <c r="G185" t="inlineStr">
        <is>
          <t>OSKARSHAMN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46263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46263</v>
      </c>
      <c r="F187" t="inlineStr">
        <is>
          <t>KALMAR LÄN</t>
        </is>
      </c>
      <c r="G187" t="inlineStr">
        <is>
          <t>OSKARSHAMN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46263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46263</v>
      </c>
      <c r="F189" t="inlineStr">
        <is>
          <t>KALMAR LÄN</t>
        </is>
      </c>
      <c r="G189" t="inlineStr">
        <is>
          <t>OSKARSHAMN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46263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46263</v>
      </c>
      <c r="F191" t="inlineStr">
        <is>
          <t>KALMAR LÄN</t>
        </is>
      </c>
      <c r="G191" t="inlineStr">
        <is>
          <t>OSKARSHAMN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46263</v>
      </c>
      <c r="F192" t="inlineStr">
        <is>
          <t>KALMAR LÄN</t>
        </is>
      </c>
      <c r="G192" t="inlineStr">
        <is>
          <t>OSKARSHAMN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46263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46263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46263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46263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46263</v>
      </c>
      <c r="F197" t="inlineStr">
        <is>
          <t>KALMAR LÄN</t>
        </is>
      </c>
      <c r="G197" t="inlineStr">
        <is>
          <t>OSKARSHAMN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60871-2022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46263</v>
      </c>
      <c r="F198" t="inlineStr">
        <is>
          <t>KALMAR LÄN</t>
        </is>
      </c>
      <c r="G198" t="inlineStr">
        <is>
          <t>OSKARSHAMN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46263</v>
      </c>
      <c r="F199" t="inlineStr">
        <is>
          <t>KALMAR LÄN</t>
        </is>
      </c>
      <c r="G199" t="inlineStr">
        <is>
          <t>OSKARSHAMN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46263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46263</v>
      </c>
      <c r="F201" t="inlineStr">
        <is>
          <t>KALMAR LÄN</t>
        </is>
      </c>
      <c r="G201" t="inlineStr">
        <is>
          <t>OSKARSHAMN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46263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46263</v>
      </c>
      <c r="F203" t="inlineStr">
        <is>
          <t>KALMAR LÄN</t>
        </is>
      </c>
      <c r="G203" t="inlineStr">
        <is>
          <t>OSKARSHAMN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46263</v>
      </c>
      <c r="F204" t="inlineStr">
        <is>
          <t>KALMAR LÄN</t>
        </is>
      </c>
      <c r="G204" t="inlineStr">
        <is>
          <t>OSKARSHAMN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71342-2021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46263</v>
      </c>
      <c r="F205" t="inlineStr">
        <is>
          <t>KALMAR LÄN</t>
        </is>
      </c>
      <c r="G205" t="inlineStr">
        <is>
          <t>OSKARSHAMN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46263</v>
      </c>
      <c r="F206" t="inlineStr">
        <is>
          <t>KALMAR LÄN</t>
        </is>
      </c>
      <c r="G206" t="inlineStr">
        <is>
          <t>OSKARSHAMN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45490</v>
      </c>
      <c r="E207" s="1" t="n">
        <v>46263</v>
      </c>
      <c r="F207" t="inlineStr">
        <is>
          <t>KALMAR LÄN</t>
        </is>
      </c>
      <c r="G207" t="inlineStr">
        <is>
          <t>OSKARSHAMN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46263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46263</v>
      </c>
      <c r="F209" t="inlineStr">
        <is>
          <t>KALMAR LÄN</t>
        </is>
      </c>
      <c r="G209" t="inlineStr">
        <is>
          <t>OSKARSHAMN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45691</v>
      </c>
      <c r="E210" s="1" t="n">
        <v>46263</v>
      </c>
      <c r="F210" t="inlineStr">
        <is>
          <t>KALMAR LÄN</t>
        </is>
      </c>
      <c r="G210" t="inlineStr">
        <is>
          <t>OSKARSHAMN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46263</v>
      </c>
      <c r="F211" t="inlineStr">
        <is>
          <t>KALMAR LÄN</t>
        </is>
      </c>
      <c r="G211" t="inlineStr">
        <is>
          <t>OSKARSHAMN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46263</v>
      </c>
      <c r="F212" t="inlineStr">
        <is>
          <t>KALMAR LÄN</t>
        </is>
      </c>
      <c r="G212" t="inlineStr">
        <is>
          <t>OSKARSHAMN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45490</v>
      </c>
      <c r="E213" s="1" t="n">
        <v>46263</v>
      </c>
      <c r="F213" t="inlineStr">
        <is>
          <t>KALMAR LÄN</t>
        </is>
      </c>
      <c r="G213" t="inlineStr">
        <is>
          <t>OSKARSHAMN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46263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46263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45572</v>
      </c>
      <c r="E216" s="1" t="n">
        <v>46263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46263</v>
      </c>
      <c r="F217" t="inlineStr">
        <is>
          <t>KALMAR LÄN</t>
        </is>
      </c>
      <c r="G217" t="inlineStr">
        <is>
          <t>OSKARSHAMN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46263</v>
      </c>
      <c r="F218" t="inlineStr">
        <is>
          <t>KALMAR LÄN</t>
        </is>
      </c>
      <c r="G218" t="inlineStr">
        <is>
          <t>OSKARSHAMN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46263</v>
      </c>
      <c r="F219" t="inlineStr">
        <is>
          <t>KALMAR LÄN</t>
        </is>
      </c>
      <c r="G219" t="inlineStr">
        <is>
          <t>OSKARSHAMN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46263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46263</v>
      </c>
      <c r="F221" t="inlineStr">
        <is>
          <t>KALMAR LÄN</t>
        </is>
      </c>
      <c r="G221" t="inlineStr">
        <is>
          <t>OSKARSHAMN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46263</v>
      </c>
      <c r="F222" t="inlineStr">
        <is>
          <t>KALMAR LÄN</t>
        </is>
      </c>
      <c r="G222" t="inlineStr">
        <is>
          <t>OSKARSHAMN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46263</v>
      </c>
      <c r="F223" t="inlineStr">
        <is>
          <t>KALMAR LÄN</t>
        </is>
      </c>
      <c r="G223" t="inlineStr">
        <is>
          <t>OSKARSHAMN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46263</v>
      </c>
      <c r="F224" t="inlineStr">
        <is>
          <t>KALMAR LÄN</t>
        </is>
      </c>
      <c r="G224" t="inlineStr">
        <is>
          <t>OSKARSHAMN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46263</v>
      </c>
      <c r="F225" t="inlineStr">
        <is>
          <t>KALMAR LÄN</t>
        </is>
      </c>
      <c r="G225" t="inlineStr">
        <is>
          <t>OSKARSHAMN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46263</v>
      </c>
      <c r="F226" t="inlineStr">
        <is>
          <t>KALMAR LÄN</t>
        </is>
      </c>
      <c r="G226" t="inlineStr">
        <is>
          <t>OSKARSHAMN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46263</v>
      </c>
      <c r="F227" t="inlineStr">
        <is>
          <t>KALMAR LÄN</t>
        </is>
      </c>
      <c r="G227" t="inlineStr">
        <is>
          <t>OSKARSHAMN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46263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46263</v>
      </c>
      <c r="F229" t="inlineStr">
        <is>
          <t>KALMAR LÄN</t>
        </is>
      </c>
      <c r="G229" t="inlineStr">
        <is>
          <t>OSKARSHAMN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46263</v>
      </c>
      <c r="F230" t="inlineStr">
        <is>
          <t>KALMAR LÄN</t>
        </is>
      </c>
      <c r="G230" t="inlineStr">
        <is>
          <t>OSKARSHAMN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46263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46263</v>
      </c>
      <c r="F232" t="inlineStr">
        <is>
          <t>KALMAR LÄN</t>
        </is>
      </c>
      <c r="G232" t="inlineStr">
        <is>
          <t>OSKARSHAMN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46263</v>
      </c>
      <c r="F233" t="inlineStr">
        <is>
          <t>KALMAR LÄN</t>
        </is>
      </c>
      <c r="G233" t="inlineStr">
        <is>
          <t>OSKARSHAMN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46263</v>
      </c>
      <c r="F234" t="inlineStr">
        <is>
          <t>KALMAR LÄN</t>
        </is>
      </c>
      <c r="G234" t="inlineStr">
        <is>
          <t>OSKARSHAMN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46263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45805</v>
      </c>
      <c r="E236" s="1" t="n">
        <v>46263</v>
      </c>
      <c r="F236" t="inlineStr">
        <is>
          <t>KALMAR LÄN</t>
        </is>
      </c>
      <c r="G236" t="inlineStr">
        <is>
          <t>OSKARSHAMN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46263</v>
      </c>
      <c r="F237" t="inlineStr">
        <is>
          <t>KALMAR LÄN</t>
        </is>
      </c>
      <c r="G237" t="inlineStr">
        <is>
          <t>OSKARSHAMN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46263</v>
      </c>
      <c r="F238" t="inlineStr">
        <is>
          <t>KALMAR LÄN</t>
        </is>
      </c>
      <c r="G238" t="inlineStr">
        <is>
          <t>OSKARSHAMN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46263</v>
      </c>
      <c r="F239" t="inlineStr">
        <is>
          <t>KALMAR LÄN</t>
        </is>
      </c>
      <c r="G239" t="inlineStr">
        <is>
          <t>OSKARSHAMN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46263</v>
      </c>
      <c r="F240" t="inlineStr">
        <is>
          <t>KALMAR LÄN</t>
        </is>
      </c>
      <c r="G240" t="inlineStr">
        <is>
          <t>OSKARSHAMN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46263</v>
      </c>
      <c r="F241" t="inlineStr">
        <is>
          <t>KALMAR LÄN</t>
        </is>
      </c>
      <c r="G241" t="inlineStr">
        <is>
          <t>OSKARSHAMN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44467</v>
      </c>
      <c r="E242" s="1" t="n">
        <v>46263</v>
      </c>
      <c r="F242" t="inlineStr">
        <is>
          <t>KALMAR LÄN</t>
        </is>
      </c>
      <c r="G242" t="inlineStr">
        <is>
          <t>OSKARSHAMN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45372</v>
      </c>
      <c r="E243" s="1" t="n">
        <v>46263</v>
      </c>
      <c r="F243" t="inlineStr">
        <is>
          <t>KALMAR LÄN</t>
        </is>
      </c>
      <c r="G243" t="inlineStr">
        <is>
          <t>OSKARSHAMN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46263</v>
      </c>
      <c r="F244" t="inlineStr">
        <is>
          <t>KALMAR LÄN</t>
        </is>
      </c>
      <c r="G244" t="inlineStr">
        <is>
          <t>OSKARSHAMN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46263</v>
      </c>
      <c r="F245" t="inlineStr">
        <is>
          <t>KALMAR LÄN</t>
        </is>
      </c>
      <c r="G245" t="inlineStr">
        <is>
          <t>OSKARSHAMN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46263</v>
      </c>
      <c r="F246" t="inlineStr">
        <is>
          <t>KALMAR LÄN</t>
        </is>
      </c>
      <c r="G246" t="inlineStr">
        <is>
          <t>OSKARSHAMN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46263</v>
      </c>
      <c r="F247" t="inlineStr">
        <is>
          <t>KALMAR LÄN</t>
        </is>
      </c>
      <c r="G247" t="inlineStr">
        <is>
          <t>OSKARSHAMN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46263</v>
      </c>
      <c r="F248" t="inlineStr">
        <is>
          <t>KALMAR LÄN</t>
        </is>
      </c>
      <c r="G248" t="inlineStr">
        <is>
          <t>OSKARSHAMN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46263</v>
      </c>
      <c r="F249" t="inlineStr">
        <is>
          <t>KALMAR LÄN</t>
        </is>
      </c>
      <c r="G249" t="inlineStr">
        <is>
          <t>OSKARSHAMN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45580</v>
      </c>
      <c r="E250" s="1" t="n">
        <v>46263</v>
      </c>
      <c r="F250" t="inlineStr">
        <is>
          <t>KALMAR LÄN</t>
        </is>
      </c>
      <c r="G250" t="inlineStr">
        <is>
          <t>OSKARSHAMN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46263</v>
      </c>
      <c r="F251" t="inlineStr">
        <is>
          <t>KALMAR LÄN</t>
        </is>
      </c>
      <c r="G251" t="inlineStr">
        <is>
          <t>OSKARSHAMN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46263</v>
      </c>
      <c r="F252" t="inlineStr">
        <is>
          <t>KALMAR LÄN</t>
        </is>
      </c>
      <c r="G252" t="inlineStr">
        <is>
          <t>OSKARSHAMN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46263</v>
      </c>
      <c r="F253" t="inlineStr">
        <is>
          <t>KALMAR LÄN</t>
        </is>
      </c>
      <c r="G253" t="inlineStr">
        <is>
          <t>OSKARSHAMN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22543-2022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46263</v>
      </c>
      <c r="F254" t="inlineStr">
        <is>
          <t>KALMAR LÄN</t>
        </is>
      </c>
      <c r="G254" t="inlineStr">
        <is>
          <t>OSKARSHAMN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46263</v>
      </c>
      <c r="F255" t="inlineStr">
        <is>
          <t>KALMAR LÄN</t>
        </is>
      </c>
      <c r="G255" t="inlineStr">
        <is>
          <t>OSKARSHAMN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46263</v>
      </c>
      <c r="F256" t="inlineStr">
        <is>
          <t>KALMAR LÄN</t>
        </is>
      </c>
      <c r="G256" t="inlineStr">
        <is>
          <t>OSKARSHAMN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50572-2024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45601</v>
      </c>
      <c r="E257" s="1" t="n">
        <v>46263</v>
      </c>
      <c r="F257" t="inlineStr">
        <is>
          <t>KALMAR LÄN</t>
        </is>
      </c>
      <c r="G257" t="inlineStr">
        <is>
          <t>OSKARSHAMN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45604</v>
      </c>
      <c r="E258" s="1" t="n">
        <v>46263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45113</v>
      </c>
      <c r="E259" s="1" t="n">
        <v>46263</v>
      </c>
      <c r="F259" t="inlineStr">
        <is>
          <t>KALMAR LÄN</t>
        </is>
      </c>
      <c r="G259" t="inlineStr">
        <is>
          <t>OSKARSHAMN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46263</v>
      </c>
      <c r="F260" t="inlineStr">
        <is>
          <t>KALMAR LÄN</t>
        </is>
      </c>
      <c r="G260" t="inlineStr">
        <is>
          <t>OSKARSHAMN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46263</v>
      </c>
      <c r="F261" t="inlineStr">
        <is>
          <t>KALMAR LÄN</t>
        </is>
      </c>
      <c r="G261" t="inlineStr">
        <is>
          <t>OSKARSHAMN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46263</v>
      </c>
      <c r="F262" t="inlineStr">
        <is>
          <t>KALMAR LÄN</t>
        </is>
      </c>
      <c r="G262" t="inlineStr">
        <is>
          <t>OSKARSHAMN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46263</v>
      </c>
      <c r="F263" t="inlineStr">
        <is>
          <t>KALMAR LÄN</t>
        </is>
      </c>
      <c r="G263" t="inlineStr">
        <is>
          <t>OSKARSHAMN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46263</v>
      </c>
      <c r="F264" t="inlineStr">
        <is>
          <t>KALMAR LÄN</t>
        </is>
      </c>
      <c r="G264" t="inlineStr">
        <is>
          <t>OSKARSHAMN</t>
        </is>
      </c>
      <c r="H264" t="inlineStr">
        <is>
          <t>Kommuner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45756</v>
      </c>
      <c r="E265" s="1" t="n">
        <v>46263</v>
      </c>
      <c r="F265" t="inlineStr">
        <is>
          <t>KALMAR LÄN</t>
        </is>
      </c>
      <c r="G265" t="inlineStr">
        <is>
          <t>OSKARSHAMN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46263</v>
      </c>
      <c r="F266" t="inlineStr">
        <is>
          <t>KALMAR LÄN</t>
        </is>
      </c>
      <c r="G266" t="inlineStr">
        <is>
          <t>OSKARSHAMN</t>
        </is>
      </c>
      <c r="I266" t="n">
        <v>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46263</v>
      </c>
      <c r="F267" t="inlineStr">
        <is>
          <t>KALMAR LÄN</t>
        </is>
      </c>
      <c r="G267" t="inlineStr">
        <is>
          <t>OSKARSHAMN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28538-2023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46263</v>
      </c>
      <c r="F268" t="inlineStr">
        <is>
          <t>KALMAR LÄN</t>
        </is>
      </c>
      <c r="G268" t="inlineStr">
        <is>
          <t>OSKARSHAMN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46263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45385</v>
      </c>
      <c r="E270" s="1" t="n">
        <v>46263</v>
      </c>
      <c r="F270" t="inlineStr">
        <is>
          <t>KALMAR LÄN</t>
        </is>
      </c>
      <c r="G270" t="inlineStr">
        <is>
          <t>OSKARSHAMN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8656-2022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44613</v>
      </c>
      <c r="E271" s="1" t="n">
        <v>46263</v>
      </c>
      <c r="F271" t="inlineStr">
        <is>
          <t>KALMAR LÄN</t>
        </is>
      </c>
      <c r="G271" t="inlineStr">
        <is>
          <t>OSKARSHAMN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45329</v>
      </c>
      <c r="E272" s="1" t="n">
        <v>46263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46263</v>
      </c>
      <c r="F273" t="inlineStr">
        <is>
          <t>KALMAR LÄN</t>
        </is>
      </c>
      <c r="G273" t="inlineStr">
        <is>
          <t>OSKARSHAMN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46263</v>
      </c>
      <c r="F274" t="inlineStr">
        <is>
          <t>KALMAR LÄN</t>
        </is>
      </c>
      <c r="G274" t="inlineStr">
        <is>
          <t>OSKARSHAMN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46263</v>
      </c>
      <c r="F275" t="inlineStr">
        <is>
          <t>KALMAR LÄN</t>
        </is>
      </c>
      <c r="G275" t="inlineStr">
        <is>
          <t>OSKARSHAMN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44980</v>
      </c>
      <c r="E276" s="1" t="n">
        <v>46263</v>
      </c>
      <c r="F276" t="inlineStr">
        <is>
          <t>KALMAR LÄN</t>
        </is>
      </c>
      <c r="G276" t="inlineStr">
        <is>
          <t>OSKARSHAMN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45625</v>
      </c>
      <c r="E277" s="1" t="n">
        <v>46263</v>
      </c>
      <c r="F277" t="inlineStr">
        <is>
          <t>KALMAR LÄN</t>
        </is>
      </c>
      <c r="G277" t="inlineStr">
        <is>
          <t>OSKARSHAMN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46263</v>
      </c>
      <c r="F278" t="inlineStr">
        <is>
          <t>KALMAR LÄN</t>
        </is>
      </c>
      <c r="G278" t="inlineStr">
        <is>
          <t>OSKARSHAMN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46263</v>
      </c>
      <c r="F279" t="inlineStr">
        <is>
          <t>KALMAR LÄN</t>
        </is>
      </c>
      <c r="G279" t="inlineStr">
        <is>
          <t>OSKARSHAMN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46263</v>
      </c>
      <c r="F280" t="inlineStr">
        <is>
          <t>KALMAR LÄN</t>
        </is>
      </c>
      <c r="G280" t="inlineStr">
        <is>
          <t>OSKARSHAMN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44978</v>
      </c>
      <c r="E281" s="1" t="n">
        <v>46263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15754-2022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44663</v>
      </c>
      <c r="E282" s="1" t="n">
        <v>46263</v>
      </c>
      <c r="F282" t="inlineStr">
        <is>
          <t>KALMAR LÄN</t>
        </is>
      </c>
      <c r="G282" t="inlineStr">
        <is>
          <t>OSKARSHAMN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46263</v>
      </c>
      <c r="F283" t="inlineStr">
        <is>
          <t>KALMAR LÄN</t>
        </is>
      </c>
      <c r="G283" t="inlineStr">
        <is>
          <t>OSKARSHAMN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46263</v>
      </c>
      <c r="F284" t="inlineStr">
        <is>
          <t>KALMAR LÄN</t>
        </is>
      </c>
      <c r="G284" t="inlineStr">
        <is>
          <t>OSKARSHAMN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45041</v>
      </c>
      <c r="E285" s="1" t="n">
        <v>46263</v>
      </c>
      <c r="F285" t="inlineStr">
        <is>
          <t>KALMAR LÄN</t>
        </is>
      </c>
      <c r="G285" t="inlineStr">
        <is>
          <t>OSKARSHAMN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45012</v>
      </c>
      <c r="E286" s="1" t="n">
        <v>46263</v>
      </c>
      <c r="F286" t="inlineStr">
        <is>
          <t>KALMAR LÄN</t>
        </is>
      </c>
      <c r="G286" t="inlineStr">
        <is>
          <t>OSKARSHAMN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46263</v>
      </c>
      <c r="F287" t="inlineStr">
        <is>
          <t>KALMAR LÄN</t>
        </is>
      </c>
      <c r="G287" t="inlineStr">
        <is>
          <t>OSKARSHAMN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46263</v>
      </c>
      <c r="F288" t="inlineStr">
        <is>
          <t>KALMAR LÄN</t>
        </is>
      </c>
      <c r="G288" t="inlineStr">
        <is>
          <t>OSKARSHAMN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25867-2022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44733</v>
      </c>
      <c r="E289" s="1" t="n">
        <v>46263</v>
      </c>
      <c r="F289" t="inlineStr">
        <is>
          <t>KALMAR LÄN</t>
        </is>
      </c>
      <c r="G289" t="inlineStr">
        <is>
          <t>OSKARSHAMN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46263</v>
      </c>
      <c r="F290" t="inlineStr">
        <is>
          <t>KALMAR LÄN</t>
        </is>
      </c>
      <c r="G290" t="inlineStr">
        <is>
          <t>OSKARSHAMN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46263</v>
      </c>
      <c r="F291" t="inlineStr">
        <is>
          <t>KALMAR LÄN</t>
        </is>
      </c>
      <c r="G291" t="inlineStr">
        <is>
          <t>OSKARSHAMN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46263</v>
      </c>
      <c r="F292" t="inlineStr">
        <is>
          <t>KALMAR LÄN</t>
        </is>
      </c>
      <c r="G292" t="inlineStr">
        <is>
          <t>OSKARSHAMN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45320</v>
      </c>
      <c r="E293" s="1" t="n">
        <v>46263</v>
      </c>
      <c r="F293" t="inlineStr">
        <is>
          <t>KALMAR LÄN</t>
        </is>
      </c>
      <c r="G293" t="inlineStr">
        <is>
          <t>OSKARSHAMN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46263</v>
      </c>
      <c r="F294" t="inlineStr">
        <is>
          <t>KALMAR LÄN</t>
        </is>
      </c>
      <c r="G294" t="inlineStr">
        <is>
          <t>OSKARSHAMN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46263</v>
      </c>
      <c r="F295" t="inlineStr">
        <is>
          <t>KALMAR LÄN</t>
        </is>
      </c>
      <c r="G295" t="inlineStr">
        <is>
          <t>OSKARSHAMN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46263</v>
      </c>
      <c r="F296" t="inlineStr">
        <is>
          <t>KALMAR LÄN</t>
        </is>
      </c>
      <c r="G296" t="inlineStr">
        <is>
          <t>OSKARSHAMN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48582-2021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44452</v>
      </c>
      <c r="E297" s="1" t="n">
        <v>46263</v>
      </c>
      <c r="F297" t="inlineStr">
        <is>
          <t>KALMAR LÄN</t>
        </is>
      </c>
      <c r="G297" t="inlineStr">
        <is>
          <t>OSKARSHAMN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46263</v>
      </c>
      <c r="F298" t="inlineStr">
        <is>
          <t>KALMAR LÄN</t>
        </is>
      </c>
      <c r="G298" t="inlineStr">
        <is>
          <t>OSKARSHAMN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46263</v>
      </c>
      <c r="F299" t="inlineStr">
        <is>
          <t>KALMAR LÄN</t>
        </is>
      </c>
      <c r="G299" t="inlineStr">
        <is>
          <t>OSKARSHAMN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46263</v>
      </c>
      <c r="F300" t="inlineStr">
        <is>
          <t>KALMAR LÄN</t>
        </is>
      </c>
      <c r="G300" t="inlineStr">
        <is>
          <t>OSKARSHAMN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46263</v>
      </c>
      <c r="F301" t="inlineStr">
        <is>
          <t>KALMAR LÄN</t>
        </is>
      </c>
      <c r="G301" t="inlineStr">
        <is>
          <t>OSKARSHAMN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44836</v>
      </c>
      <c r="E302" s="1" t="n">
        <v>46263</v>
      </c>
      <c r="F302" t="inlineStr">
        <is>
          <t>KALMAR LÄN</t>
        </is>
      </c>
      <c r="G302" t="inlineStr">
        <is>
          <t>OSKARSHAMN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62995-2025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46009</v>
      </c>
      <c r="E303" s="1" t="n">
        <v>46263</v>
      </c>
      <c r="F303" t="inlineStr">
        <is>
          <t>KALMAR LÄN</t>
        </is>
      </c>
      <c r="G303" t="inlineStr">
        <is>
          <t>OSKARSHAMN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46263</v>
      </c>
      <c r="F304" t="inlineStr">
        <is>
          <t>KALMAR LÄN</t>
        </is>
      </c>
      <c r="G304" t="inlineStr">
        <is>
          <t>OSKARSHAMN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61318-2022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46263</v>
      </c>
      <c r="F305" t="inlineStr">
        <is>
          <t>KALMAR LÄN</t>
        </is>
      </c>
      <c r="G305" t="inlineStr">
        <is>
          <t>OSKARSHAMN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46263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46263</v>
      </c>
      <c r="F307" t="inlineStr">
        <is>
          <t>KALMAR LÄN</t>
        </is>
      </c>
      <c r="G307" t="inlineStr">
        <is>
          <t>OSKARSHAMN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46263</v>
      </c>
      <c r="F308" t="inlineStr">
        <is>
          <t>KALMAR LÄN</t>
        </is>
      </c>
      <c r="G308" t="inlineStr">
        <is>
          <t>OSKARSHAMN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46263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46263</v>
      </c>
      <c r="F310" t="inlineStr">
        <is>
          <t>KALMAR LÄN</t>
        </is>
      </c>
      <c r="G310" t="inlineStr">
        <is>
          <t>OSKARSHAMN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45208</v>
      </c>
      <c r="E311" s="1" t="n">
        <v>46263</v>
      </c>
      <c r="F311" t="inlineStr">
        <is>
          <t>KALMAR LÄN</t>
        </is>
      </c>
      <c r="G311" t="inlineStr">
        <is>
          <t>OSKARSHAMN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59075-2021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44489</v>
      </c>
      <c r="E312" s="1" t="n">
        <v>46263</v>
      </c>
      <c r="F312" t="inlineStr">
        <is>
          <t>KALMAR LÄN</t>
        </is>
      </c>
      <c r="G312" t="inlineStr">
        <is>
          <t>OSKARSHAMN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64474-2023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46263</v>
      </c>
      <c r="F313" t="inlineStr">
        <is>
          <t>KALMAR LÄN</t>
        </is>
      </c>
      <c r="G313" t="inlineStr">
        <is>
          <t>OSKARSHAMN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64476-2023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46263</v>
      </c>
      <c r="F314" t="inlineStr">
        <is>
          <t>KALMAR LÄN</t>
        </is>
      </c>
      <c r="G314" t="inlineStr">
        <is>
          <t>OSKARSHAMN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46263</v>
      </c>
      <c r="F315" t="inlineStr">
        <is>
          <t>KALMAR LÄN</t>
        </is>
      </c>
      <c r="G315" t="inlineStr">
        <is>
          <t>OSKARSHAMN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46263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46263</v>
      </c>
      <c r="F317" t="inlineStr">
        <is>
          <t>KALMAR LÄN</t>
        </is>
      </c>
      <c r="G317" t="inlineStr">
        <is>
          <t>OSKARSHAMN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13778-2024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46263</v>
      </c>
      <c r="F318" t="inlineStr">
        <is>
          <t>KALMAR LÄN</t>
        </is>
      </c>
      <c r="G318" t="inlineStr">
        <is>
          <t>OSKARSHAMN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45240</v>
      </c>
      <c r="E319" s="1" t="n">
        <v>46263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46263</v>
      </c>
      <c r="F320" t="inlineStr">
        <is>
          <t>KALMAR LÄN</t>
        </is>
      </c>
      <c r="G320" t="inlineStr">
        <is>
          <t>OSKARSHAMN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46263</v>
      </c>
      <c r="F321" t="inlineStr">
        <is>
          <t>KALMAR LÄN</t>
        </is>
      </c>
      <c r="G321" t="inlineStr">
        <is>
          <t>OSKARSHAMN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46263</v>
      </c>
      <c r="F322" t="inlineStr">
        <is>
          <t>KALMAR LÄN</t>
        </is>
      </c>
      <c r="G322" t="inlineStr">
        <is>
          <t>OSKARSHAMN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45096</v>
      </c>
      <c r="E323" s="1" t="n">
        <v>46263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71340-2021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44539</v>
      </c>
      <c r="E324" s="1" t="n">
        <v>46263</v>
      </c>
      <c r="F324" t="inlineStr">
        <is>
          <t>KALMAR LÄN</t>
        </is>
      </c>
      <c r="G324" t="inlineStr">
        <is>
          <t>OSKARSHAMN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44995</v>
      </c>
      <c r="E325" s="1" t="n">
        <v>46263</v>
      </c>
      <c r="F325" t="inlineStr">
        <is>
          <t>KALMAR LÄN</t>
        </is>
      </c>
      <c r="G325" t="inlineStr">
        <is>
          <t>OSKARSHAMN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44995</v>
      </c>
      <c r="E326" s="1" t="n">
        <v>46263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72786-2021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46263</v>
      </c>
      <c r="F327" t="inlineStr">
        <is>
          <t>KALMAR LÄN</t>
        </is>
      </c>
      <c r="G327" t="inlineStr">
        <is>
          <t>OSKARSHAMN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46263</v>
      </c>
      <c r="F328" t="inlineStr">
        <is>
          <t>KALMAR LÄN</t>
        </is>
      </c>
      <c r="G328" t="inlineStr">
        <is>
          <t>OSKARSHAMN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46263</v>
      </c>
      <c r="F329" t="inlineStr">
        <is>
          <t>KALMAR LÄN</t>
        </is>
      </c>
      <c r="G329" t="inlineStr">
        <is>
          <t>OSKARSHAMN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46263</v>
      </c>
      <c r="F330" t="inlineStr">
        <is>
          <t>KALMAR LÄN</t>
        </is>
      </c>
      <c r="G330" t="inlineStr">
        <is>
          <t>OSKARSHAMN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46263</v>
      </c>
      <c r="F331" t="inlineStr">
        <is>
          <t>KALMAR LÄN</t>
        </is>
      </c>
      <c r="G331" t="inlineStr">
        <is>
          <t>OSKARSHAMN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45643</v>
      </c>
      <c r="E332" s="1" t="n">
        <v>46263</v>
      </c>
      <c r="F332" t="inlineStr">
        <is>
          <t>KALMAR LÄN</t>
        </is>
      </c>
      <c r="G332" t="inlineStr">
        <is>
          <t>OSKARSHAMN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46263</v>
      </c>
      <c r="F333" t="inlineStr">
        <is>
          <t>KALMAR LÄN</t>
        </is>
      </c>
      <c r="G333" t="inlineStr">
        <is>
          <t>OSKARSHAMN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46263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44621</v>
      </c>
      <c r="E335" s="1" t="n">
        <v>46263</v>
      </c>
      <c r="F335" t="inlineStr">
        <is>
          <t>KALMAR LÄN</t>
        </is>
      </c>
      <c r="G335" t="inlineStr">
        <is>
          <t>OSKARSHAMN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45043</v>
      </c>
      <c r="E336" s="1" t="n">
        <v>46263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15925-2023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46263</v>
      </c>
      <c r="F337" t="inlineStr">
        <is>
          <t>KALMAR LÄN</t>
        </is>
      </c>
      <c r="G337" t="inlineStr">
        <is>
          <t>OSKARSHAMN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45601</v>
      </c>
      <c r="E338" s="1" t="n">
        <v>46263</v>
      </c>
      <c r="F338" t="inlineStr">
        <is>
          <t>KALMAR LÄN</t>
        </is>
      </c>
      <c r="G338" t="inlineStr">
        <is>
          <t>OSKARSHAMN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46263</v>
      </c>
      <c r="F339" t="inlineStr">
        <is>
          <t>KALMAR LÄN</t>
        </is>
      </c>
      <c r="G339" t="inlineStr">
        <is>
          <t>OSKARSHAMN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59710-2021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44494</v>
      </c>
      <c r="E340" s="1" t="n">
        <v>46263</v>
      </c>
      <c r="F340" t="inlineStr">
        <is>
          <t>KALMAR LÄN</t>
        </is>
      </c>
      <c r="G340" t="inlineStr">
        <is>
          <t>OSKARSHAMN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44573</v>
      </c>
      <c r="E341" s="1" t="n">
        <v>46263</v>
      </c>
      <c r="F341" t="inlineStr">
        <is>
          <t>KALMAR LÄN</t>
        </is>
      </c>
      <c r="G341" t="inlineStr">
        <is>
          <t>OSKARSHAMN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45898-2024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46263</v>
      </c>
      <c r="F342" t="inlineStr">
        <is>
          <t>KALMAR LÄN</t>
        </is>
      </c>
      <c r="G342" t="inlineStr">
        <is>
          <t>OSKARSHAMN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46263</v>
      </c>
      <c r="F343" t="inlineStr">
        <is>
          <t>KALMAR LÄN</t>
        </is>
      </c>
      <c r="G343" t="inlineStr">
        <is>
          <t>OSKARSHAMN</t>
        </is>
      </c>
      <c r="I343" t="n">
        <v>15.3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45075</v>
      </c>
      <c r="E344" s="1" t="n">
        <v>46263</v>
      </c>
      <c r="F344" t="inlineStr">
        <is>
          <t>KALMAR LÄN</t>
        </is>
      </c>
      <c r="G344" t="inlineStr">
        <is>
          <t>OSKARSHAMN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46263</v>
      </c>
      <c r="F345" t="inlineStr">
        <is>
          <t>KALMAR LÄN</t>
        </is>
      </c>
      <c r="G345" t="inlineStr">
        <is>
          <t>OSKARSHAMN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46263</v>
      </c>
      <c r="F346" t="inlineStr">
        <is>
          <t>KALMAR LÄN</t>
        </is>
      </c>
      <c r="G346" t="inlineStr">
        <is>
          <t>OSKARSHAMN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73404-2021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44551</v>
      </c>
      <c r="E347" s="1" t="n">
        <v>46263</v>
      </c>
      <c r="F347" t="inlineStr">
        <is>
          <t>KALMAR LÄN</t>
        </is>
      </c>
      <c r="G347" t="inlineStr">
        <is>
          <t>OSKARSHAMN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46263</v>
      </c>
      <c r="F348" t="inlineStr">
        <is>
          <t>KALMAR LÄN</t>
        </is>
      </c>
      <c r="G348" t="inlineStr">
        <is>
          <t>OSKARSHAMN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45644</v>
      </c>
      <c r="E349" s="1" t="n">
        <v>46263</v>
      </c>
      <c r="F349" t="inlineStr">
        <is>
          <t>KALMAR LÄN</t>
        </is>
      </c>
      <c r="G349" t="inlineStr">
        <is>
          <t>OSKARSHAMN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45198</v>
      </c>
      <c r="E350" s="1" t="n">
        <v>46263</v>
      </c>
      <c r="F350" t="inlineStr">
        <is>
          <t>KALMAR LÄN</t>
        </is>
      </c>
      <c r="G350" t="inlineStr">
        <is>
          <t>OSKARSHAMN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46263</v>
      </c>
      <c r="F351" t="inlineStr">
        <is>
          <t>KALMAR LÄN</t>
        </is>
      </c>
      <c r="G351" t="inlineStr">
        <is>
          <t>OSKARSHAMN</t>
        </is>
      </c>
      <c r="I351" t="n">
        <v>11.6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46263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46263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45567</v>
      </c>
      <c r="E354" s="1" t="n">
        <v>46263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13204-2024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45386</v>
      </c>
      <c r="E355" s="1" t="n">
        <v>46263</v>
      </c>
      <c r="F355" t="inlineStr">
        <is>
          <t>KALMAR LÄN</t>
        </is>
      </c>
      <c r="G355" t="inlineStr">
        <is>
          <t>OSKARSHAMN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46263</v>
      </c>
      <c r="F356" t="inlineStr">
        <is>
          <t>KALMAR LÄN</t>
        </is>
      </c>
      <c r="G356" t="inlineStr">
        <is>
          <t>OSKARSHAMN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46263</v>
      </c>
      <c r="F357" t="inlineStr">
        <is>
          <t>KALMAR LÄN</t>
        </is>
      </c>
      <c r="G357" t="inlineStr">
        <is>
          <t>OSKARSHAMN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26132-2023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45091</v>
      </c>
      <c r="E358" s="1" t="n">
        <v>46263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72819-2021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44547</v>
      </c>
      <c r="E359" s="1" t="n">
        <v>46263</v>
      </c>
      <c r="F359" t="inlineStr">
        <is>
          <t>KALMAR LÄN</t>
        </is>
      </c>
      <c r="G359" t="inlineStr">
        <is>
          <t>OSKARSHAMN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15525-2026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46106</v>
      </c>
      <c r="E360" s="1" t="n">
        <v>46263</v>
      </c>
      <c r="F360" t="inlineStr">
        <is>
          <t>KALMAR LÄN</t>
        </is>
      </c>
      <c r="G360" t="inlineStr">
        <is>
          <t>OSKARSHAMN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45208</v>
      </c>
      <c r="E361" s="1" t="n">
        <v>46263</v>
      </c>
      <c r="F361" t="inlineStr">
        <is>
          <t>KALMAR LÄN</t>
        </is>
      </c>
      <c r="G361" t="inlineStr">
        <is>
          <t>OSKARSHAMN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13073-2024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46263</v>
      </c>
      <c r="F362" t="inlineStr">
        <is>
          <t>KALMAR LÄN</t>
        </is>
      </c>
      <c r="G362" t="inlineStr">
        <is>
          <t>OSKARSHAMN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45691</v>
      </c>
      <c r="E363" s="1" t="n">
        <v>46263</v>
      </c>
      <c r="F363" t="inlineStr">
        <is>
          <t>KALMAR LÄN</t>
        </is>
      </c>
      <c r="G363" t="inlineStr">
        <is>
          <t>OSKARSHAMN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7962-2022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44608</v>
      </c>
      <c r="E364" s="1" t="n">
        <v>46263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45708</v>
      </c>
      <c r="E365" s="1" t="n">
        <v>46263</v>
      </c>
      <c r="F365" t="inlineStr">
        <is>
          <t>KALMAR LÄN</t>
        </is>
      </c>
      <c r="G365" t="inlineStr">
        <is>
          <t>OSKARSHAMN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46263</v>
      </c>
      <c r="F366" t="inlineStr">
        <is>
          <t>KALMAR LÄN</t>
        </is>
      </c>
      <c r="G366" t="inlineStr">
        <is>
          <t>OSKARSHAMN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46263</v>
      </c>
      <c r="F367" t="inlineStr">
        <is>
          <t>KALMAR LÄN</t>
        </is>
      </c>
      <c r="G367" t="inlineStr">
        <is>
          <t>OSKARSHAMN</t>
        </is>
      </c>
      <c r="H367" t="inlineStr">
        <is>
          <t>Kommuner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46263</v>
      </c>
      <c r="F368" t="inlineStr">
        <is>
          <t>KALMAR LÄN</t>
        </is>
      </c>
      <c r="G368" t="inlineStr">
        <is>
          <t>OSKARSHAMN</t>
        </is>
      </c>
      <c r="H368" t="inlineStr">
        <is>
          <t>Kommuner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45207</v>
      </c>
      <c r="E369" s="1" t="n">
        <v>46263</v>
      </c>
      <c r="F369" t="inlineStr">
        <is>
          <t>KALMAR LÄN</t>
        </is>
      </c>
      <c r="G369" t="inlineStr">
        <is>
          <t>OSKARSHAMN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46263</v>
      </c>
      <c r="F370" t="inlineStr">
        <is>
          <t>KALMAR LÄN</t>
        </is>
      </c>
      <c r="G370" t="inlineStr">
        <is>
          <t>OSKARSHAMN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46263</v>
      </c>
      <c r="F371" t="inlineStr">
        <is>
          <t>KALMAR LÄN</t>
        </is>
      </c>
      <c r="G371" t="inlineStr">
        <is>
          <t>OSKARSHAMN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46263</v>
      </c>
      <c r="F372" t="inlineStr">
        <is>
          <t>KALMAR LÄN</t>
        </is>
      </c>
      <c r="G372" t="inlineStr">
        <is>
          <t>OSKARSHAMN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46263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46263</v>
      </c>
      <c r="F374" t="inlineStr">
        <is>
          <t>KALMAR LÄN</t>
        </is>
      </c>
      <c r="G374" t="inlineStr">
        <is>
          <t>OSKARSHAMN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45687</v>
      </c>
      <c r="E375" s="1" t="n">
        <v>46263</v>
      </c>
      <c r="F375" t="inlineStr">
        <is>
          <t>KALMAR LÄN</t>
        </is>
      </c>
      <c r="G375" t="inlineStr">
        <is>
          <t>OSKARSHAMN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46263</v>
      </c>
      <c r="F376" t="inlineStr">
        <is>
          <t>KALMAR LÄN</t>
        </is>
      </c>
      <c r="G376" t="inlineStr">
        <is>
          <t>OSKARSHAMN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18978-2026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46128</v>
      </c>
      <c r="E377" s="1" t="n">
        <v>46263</v>
      </c>
      <c r="F377" t="inlineStr">
        <is>
          <t>KALMAR LÄN</t>
        </is>
      </c>
      <c r="G377" t="inlineStr">
        <is>
          <t>OSKARSHAMN</t>
        </is>
      </c>
      <c r="H377" t="inlineStr">
        <is>
          <t>Kommuner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46263</v>
      </c>
      <c r="F378" t="inlineStr">
        <is>
          <t>KALMAR LÄN</t>
        </is>
      </c>
      <c r="G378" t="inlineStr">
        <is>
          <t>OSKARSHAMN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46263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27906-2023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46263</v>
      </c>
      <c r="F380" t="inlineStr">
        <is>
          <t>KALMAR LÄN</t>
        </is>
      </c>
      <c r="G380" t="inlineStr">
        <is>
          <t>OSKARSHAMN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44818</v>
      </c>
      <c r="E381" s="1" t="n">
        <v>46263</v>
      </c>
      <c r="F381" t="inlineStr">
        <is>
          <t>KALMAR LÄN</t>
        </is>
      </c>
      <c r="G381" t="inlineStr">
        <is>
          <t>OSKARSHAMN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46263</v>
      </c>
      <c r="F382" t="inlineStr">
        <is>
          <t>KALMAR LÄN</t>
        </is>
      </c>
      <c r="G382" t="inlineStr">
        <is>
          <t>OSKARSHAMN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46263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46263</v>
      </c>
      <c r="F384" t="inlineStr">
        <is>
          <t>KALMAR LÄN</t>
        </is>
      </c>
      <c r="G384" t="inlineStr">
        <is>
          <t>OSKARSHAMN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62390-2025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46263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46263</v>
      </c>
      <c r="F386" t="inlineStr">
        <is>
          <t>KALMAR LÄN</t>
        </is>
      </c>
      <c r="G386" t="inlineStr">
        <is>
          <t>OSKARSHAMN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46263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46007</v>
      </c>
      <c r="E388" s="1" t="n">
        <v>46263</v>
      </c>
      <c r="F388" t="inlineStr">
        <is>
          <t>KALMAR LÄN</t>
        </is>
      </c>
      <c r="G388" t="inlineStr">
        <is>
          <t>OSKARSHAMN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46263</v>
      </c>
      <c r="F389" t="inlineStr">
        <is>
          <t>KALMAR LÄN</t>
        </is>
      </c>
      <c r="G389" t="inlineStr">
        <is>
          <t>OSKARSHAMN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46263</v>
      </c>
      <c r="F390" t="inlineStr">
        <is>
          <t>KALMAR LÄN</t>
        </is>
      </c>
      <c r="G390" t="inlineStr">
        <is>
          <t>OSKARSHAMN</t>
        </is>
      </c>
      <c r="I390" t="n">
        <v>12.9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46263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46263</v>
      </c>
      <c r="F392" t="inlineStr">
        <is>
          <t>KALMAR LÄN</t>
        </is>
      </c>
      <c r="G392" t="inlineStr">
        <is>
          <t>OSKARSHAMN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46263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44756</v>
      </c>
      <c r="E394" s="1" t="n">
        <v>46263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46263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46263</v>
      </c>
      <c r="F396" t="inlineStr">
        <is>
          <t>KALMAR LÄN</t>
        </is>
      </c>
      <c r="G396" t="inlineStr">
        <is>
          <t>OSKARSHAMN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46263</v>
      </c>
      <c r="F397" t="inlineStr">
        <is>
          <t>KALMAR LÄN</t>
        </is>
      </c>
      <c r="G397" t="inlineStr">
        <is>
          <t>OSKARSHAMN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42875-2025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46263</v>
      </c>
      <c r="F398" t="inlineStr">
        <is>
          <t>KALMAR LÄN</t>
        </is>
      </c>
      <c r="G398" t="inlineStr">
        <is>
          <t>OSKARSHAMN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45317</v>
      </c>
      <c r="E399" s="1" t="n">
        <v>46263</v>
      </c>
      <c r="F399" t="inlineStr">
        <is>
          <t>KALMAR LÄN</t>
        </is>
      </c>
      <c r="G399" t="inlineStr">
        <is>
          <t>OSKARSHAMN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45448</v>
      </c>
      <c r="E400" s="1" t="n">
        <v>46263</v>
      </c>
      <c r="F400" t="inlineStr">
        <is>
          <t>KALMAR LÄN</t>
        </is>
      </c>
      <c r="G400" t="inlineStr">
        <is>
          <t>OSKARSHAMN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46263</v>
      </c>
      <c r="F401" t="inlineStr">
        <is>
          <t>KALMAR LÄN</t>
        </is>
      </c>
      <c r="G401" t="inlineStr">
        <is>
          <t>OSKARSHAMN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46263</v>
      </c>
      <c r="F402" t="inlineStr">
        <is>
          <t>KALMAR LÄN</t>
        </is>
      </c>
      <c r="G402" t="inlineStr">
        <is>
          <t>OSKARSHAMN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46263</v>
      </c>
      <c r="F403" t="inlineStr">
        <is>
          <t>KALMAR LÄN</t>
        </is>
      </c>
      <c r="G403" t="inlineStr">
        <is>
          <t>OSKARSHAMN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62623-2021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44503</v>
      </c>
      <c r="E404" s="1" t="n">
        <v>46263</v>
      </c>
      <c r="F404" t="inlineStr">
        <is>
          <t>KALMAR LÄN</t>
        </is>
      </c>
      <c r="G404" t="inlineStr">
        <is>
          <t>OSKARSHAMN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61854-2022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46263</v>
      </c>
      <c r="F405" t="inlineStr">
        <is>
          <t>KALMAR LÄN</t>
        </is>
      </c>
      <c r="G405" t="inlineStr">
        <is>
          <t>OSKARSHAMN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45330</v>
      </c>
      <c r="E406" s="1" t="n">
        <v>46263</v>
      </c>
      <c r="F406" t="inlineStr">
        <is>
          <t>KALMAR LÄN</t>
        </is>
      </c>
      <c r="G406" t="inlineStr">
        <is>
          <t>OSKARSHAMN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44945</v>
      </c>
      <c r="E407" s="1" t="n">
        <v>46263</v>
      </c>
      <c r="F407" t="inlineStr">
        <is>
          <t>KALMAR LÄN</t>
        </is>
      </c>
      <c r="G407" t="inlineStr">
        <is>
          <t>OSKARSHAMN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45448</v>
      </c>
      <c r="E408" s="1" t="n">
        <v>46263</v>
      </c>
      <c r="F408" t="inlineStr">
        <is>
          <t>KALMAR LÄN</t>
        </is>
      </c>
      <c r="G408" t="inlineStr">
        <is>
          <t>OSKARSHAMN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45015</v>
      </c>
      <c r="E409" s="1" t="n">
        <v>46263</v>
      </c>
      <c r="F409" t="inlineStr">
        <is>
          <t>KALMAR LÄN</t>
        </is>
      </c>
      <c r="G409" t="inlineStr">
        <is>
          <t>OSKARSHAMN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42841-2025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45908</v>
      </c>
      <c r="E410" s="1" t="n">
        <v>46263</v>
      </c>
      <c r="F410" t="inlineStr">
        <is>
          <t>KALMAR LÄN</t>
        </is>
      </c>
      <c r="G410" t="inlineStr">
        <is>
          <t>OSKARSHAMN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45372</v>
      </c>
      <c r="E411" s="1" t="n">
        <v>46263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45294</v>
      </c>
      <c r="E412" s="1" t="n">
        <v>46263</v>
      </c>
      <c r="F412" t="inlineStr">
        <is>
          <t>KALMAR LÄN</t>
        </is>
      </c>
      <c r="G412" t="inlineStr">
        <is>
          <t>OSKARSHAMN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63522-2023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46263</v>
      </c>
      <c r="F413" t="inlineStr">
        <is>
          <t>KALMAR LÄN</t>
        </is>
      </c>
      <c r="G413" t="inlineStr">
        <is>
          <t>OSKARSHAMN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46263</v>
      </c>
      <c r="F414" t="inlineStr">
        <is>
          <t>KALMAR LÄN</t>
        </is>
      </c>
      <c r="G414" t="inlineStr">
        <is>
          <t>OSKARSHAMN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58401-2021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44488</v>
      </c>
      <c r="E415" s="1" t="n">
        <v>46263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46263</v>
      </c>
      <c r="F416" t="inlineStr">
        <is>
          <t>KALMAR LÄN</t>
        </is>
      </c>
      <c r="G416" t="inlineStr">
        <is>
          <t>OSKARSHAMN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46263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46263</v>
      </c>
      <c r="F418" t="inlineStr">
        <is>
          <t>KALMAR LÄN</t>
        </is>
      </c>
      <c r="G418" t="inlineStr">
        <is>
          <t>OSKARSHAMN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44621</v>
      </c>
      <c r="E419" s="1" t="n">
        <v>46263</v>
      </c>
      <c r="F419" t="inlineStr">
        <is>
          <t>KALMAR LÄN</t>
        </is>
      </c>
      <c r="G419" t="inlineStr">
        <is>
          <t>OSKARSHAMN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46263</v>
      </c>
      <c r="F420" t="inlineStr">
        <is>
          <t>KALMAR LÄN</t>
        </is>
      </c>
      <c r="G420" t="inlineStr">
        <is>
          <t>OSKARSHAMN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55185-2025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45968</v>
      </c>
      <c r="E421" s="1" t="n">
        <v>46263</v>
      </c>
      <c r="F421" t="inlineStr">
        <is>
          <t>KALMAR LÄN</t>
        </is>
      </c>
      <c r="G421" t="inlineStr">
        <is>
          <t>OSKARSHAMN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46263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45539</v>
      </c>
      <c r="E423" s="1" t="n">
        <v>46263</v>
      </c>
      <c r="F423" t="inlineStr">
        <is>
          <t>KALMAR LÄN</t>
        </is>
      </c>
      <c r="G423" t="inlineStr">
        <is>
          <t>OSKARSHAMN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22801-2024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45448</v>
      </c>
      <c r="E424" s="1" t="n">
        <v>46263</v>
      </c>
      <c r="F424" t="inlineStr">
        <is>
          <t>KALMAR LÄN</t>
        </is>
      </c>
      <c r="G424" t="inlineStr">
        <is>
          <t>OSKARSHAMN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46263</v>
      </c>
      <c r="F425" t="inlineStr">
        <is>
          <t>KALMAR LÄN</t>
        </is>
      </c>
      <c r="G425" t="inlineStr">
        <is>
          <t>OSKARSHAMN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19824-2024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45433</v>
      </c>
      <c r="E426" s="1" t="n">
        <v>46263</v>
      </c>
      <c r="F426" t="inlineStr">
        <is>
          <t>KALMAR LÄN</t>
        </is>
      </c>
      <c r="G426" t="inlineStr">
        <is>
          <t>OSKARSHAMN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58406-2021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44488</v>
      </c>
      <c r="E427" s="1" t="n">
        <v>46263</v>
      </c>
      <c r="F427" t="inlineStr">
        <is>
          <t>KALMAR LÄN</t>
        </is>
      </c>
      <c r="G427" t="inlineStr">
        <is>
          <t>OSKARSHAMN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50922-2022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44865</v>
      </c>
      <c r="E428" s="1" t="n">
        <v>46263</v>
      </c>
      <c r="F428" t="inlineStr">
        <is>
          <t>KALMAR LÄN</t>
        </is>
      </c>
      <c r="G428" t="inlineStr">
        <is>
          <t>OSKARSHAMN</t>
        </is>
      </c>
      <c r="H428" t="inlineStr">
        <is>
          <t>Övriga Aktiebolag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10424-2025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45720</v>
      </c>
      <c r="E429" s="1" t="n">
        <v>46263</v>
      </c>
      <c r="F429" t="inlineStr">
        <is>
          <t>KALMAR LÄN</t>
        </is>
      </c>
      <c r="G429" t="inlineStr">
        <is>
          <t>OSKARSHAMN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27684-2022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44743</v>
      </c>
      <c r="E430" s="1" t="n">
        <v>46263</v>
      </c>
      <c r="F430" t="inlineStr">
        <is>
          <t>KALMAR LÄN</t>
        </is>
      </c>
      <c r="G430" t="inlineStr">
        <is>
          <t>OSKARSHAMN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46263</v>
      </c>
      <c r="F431" t="inlineStr">
        <is>
          <t>KALMAR LÄN</t>
        </is>
      </c>
      <c r="G431" t="inlineStr">
        <is>
          <t>OSKARSHAMN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44585</v>
      </c>
      <c r="E432" s="1" t="n">
        <v>46263</v>
      </c>
      <c r="F432" t="inlineStr">
        <is>
          <t>KALMAR LÄN</t>
        </is>
      </c>
      <c r="G432" t="inlineStr">
        <is>
          <t>OSKARSHAMN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61862-2022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44917</v>
      </c>
      <c r="E433" s="1" t="n">
        <v>46263</v>
      </c>
      <c r="F433" t="inlineStr">
        <is>
          <t>KALMAR LÄN</t>
        </is>
      </c>
      <c r="G433" t="inlineStr">
        <is>
          <t>OSKARSHAMN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44951</v>
      </c>
      <c r="E434" s="1" t="n">
        <v>46263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46263</v>
      </c>
      <c r="F435" t="inlineStr">
        <is>
          <t>KALMAR LÄN</t>
        </is>
      </c>
      <c r="G435" t="inlineStr">
        <is>
          <t>OSKARSHAMN</t>
        </is>
      </c>
      <c r="H435" t="inlineStr">
        <is>
          <t>Sveaskog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45369</v>
      </c>
      <c r="E436" s="1" t="n">
        <v>46263</v>
      </c>
      <c r="F436" t="inlineStr">
        <is>
          <t>KALMAR LÄN</t>
        </is>
      </c>
      <c r="G436" t="inlineStr">
        <is>
          <t>OSKARSHAMN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46263</v>
      </c>
      <c r="F437" t="inlineStr">
        <is>
          <t>KALMAR LÄN</t>
        </is>
      </c>
      <c r="G437" t="inlineStr">
        <is>
          <t>OSKARSHAMN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45348</v>
      </c>
      <c r="E438" s="1" t="n">
        <v>46263</v>
      </c>
      <c r="F438" t="inlineStr">
        <is>
          <t>KALMAR LÄN</t>
        </is>
      </c>
      <c r="G438" t="inlineStr">
        <is>
          <t>OSKARSHAMN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46263</v>
      </c>
      <c r="F439" t="inlineStr">
        <is>
          <t>KALMAR LÄN</t>
        </is>
      </c>
      <c r="G439" t="inlineStr">
        <is>
          <t>OSKARSHAMN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44862</v>
      </c>
      <c r="E440" s="1" t="n">
        <v>46263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46977-2021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44446</v>
      </c>
      <c r="E441" s="1" t="n">
        <v>46263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46263</v>
      </c>
      <c r="F442" t="inlineStr">
        <is>
          <t>KALMAR LÄN</t>
        </is>
      </c>
      <c r="G442" t="inlineStr">
        <is>
          <t>OSKARSHAMN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45196</v>
      </c>
      <c r="E443" s="1" t="n">
        <v>46263</v>
      </c>
      <c r="F443" t="inlineStr">
        <is>
          <t>KALMAR LÄN</t>
        </is>
      </c>
      <c r="G443" t="inlineStr">
        <is>
          <t>OSKARSHAMN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46263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45405</v>
      </c>
      <c r="E445" s="1" t="n">
        <v>46263</v>
      </c>
      <c r="F445" t="inlineStr">
        <is>
          <t>KALMAR LÄN</t>
        </is>
      </c>
      <c r="G445" t="inlineStr">
        <is>
          <t>OSKARSHAMN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46263</v>
      </c>
      <c r="F446" t="inlineStr">
        <is>
          <t>KALMAR LÄN</t>
        </is>
      </c>
      <c r="G446" t="inlineStr">
        <is>
          <t>OSKARSHAMN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45256</v>
      </c>
      <c r="E447" s="1" t="n">
        <v>46263</v>
      </c>
      <c r="F447" t="inlineStr">
        <is>
          <t>KALMAR LÄN</t>
        </is>
      </c>
      <c r="G447" t="inlineStr">
        <is>
          <t>OSKARSHAMN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17194-2023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45034</v>
      </c>
      <c r="E448" s="1" t="n">
        <v>46263</v>
      </c>
      <c r="F448" t="inlineStr">
        <is>
          <t>KALMAR LÄN</t>
        </is>
      </c>
      <c r="G448" t="inlineStr">
        <is>
          <t>OSKARSHAMN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46263</v>
      </c>
      <c r="F449" t="inlineStr">
        <is>
          <t>KALMAR LÄN</t>
        </is>
      </c>
      <c r="G449" t="inlineStr">
        <is>
          <t>OSKARSHAMN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45056</v>
      </c>
      <c r="E450" s="1" t="n">
        <v>46263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44995</v>
      </c>
      <c r="E451" s="1" t="n">
        <v>46263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46263</v>
      </c>
      <c r="F452" t="inlineStr">
        <is>
          <t>KALMAR LÄN</t>
        </is>
      </c>
      <c r="G452" t="inlineStr">
        <is>
          <t>OSKARSHAMN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45337</v>
      </c>
      <c r="E453" s="1" t="n">
        <v>46263</v>
      </c>
      <c r="F453" t="inlineStr">
        <is>
          <t>KALMAR LÄN</t>
        </is>
      </c>
      <c r="G453" t="inlineStr">
        <is>
          <t>OSKARSHAMN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46263</v>
      </c>
      <c r="F454" t="inlineStr">
        <is>
          <t>KALMAR LÄN</t>
        </is>
      </c>
      <c r="G454" t="inlineStr">
        <is>
          <t>OSKARSHAMN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45448</v>
      </c>
      <c r="E455" s="1" t="n">
        <v>46263</v>
      </c>
      <c r="F455" t="inlineStr">
        <is>
          <t>KALMAR LÄN</t>
        </is>
      </c>
      <c r="G455" t="inlineStr">
        <is>
          <t>OSKARSHAMN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46263</v>
      </c>
      <c r="F456" t="inlineStr">
        <is>
          <t>KALMAR LÄN</t>
        </is>
      </c>
      <c r="G456" t="inlineStr">
        <is>
          <t>OSKARSHAMN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49909-2022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46263</v>
      </c>
      <c r="F457" t="inlineStr">
        <is>
          <t>KALMAR LÄN</t>
        </is>
      </c>
      <c r="G457" t="inlineStr">
        <is>
          <t>OSKARSHAMN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11665-2023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46263</v>
      </c>
      <c r="F458" t="inlineStr">
        <is>
          <t>KALMAR LÄN</t>
        </is>
      </c>
      <c r="G458" t="inlineStr">
        <is>
          <t>OSKARSHAMN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46263</v>
      </c>
      <c r="F459" t="inlineStr">
        <is>
          <t>KALMAR LÄN</t>
        </is>
      </c>
      <c r="G459" t="inlineStr">
        <is>
          <t>OSKARSHAMN</t>
        </is>
      </c>
      <c r="H459" t="inlineStr">
        <is>
          <t>Övriga Aktiebolag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46263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46263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44621</v>
      </c>
      <c r="E462" s="1" t="n">
        <v>46263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46263</v>
      </c>
      <c r="F463" t="inlineStr">
        <is>
          <t>KALMAR LÄN</t>
        </is>
      </c>
      <c r="G463" t="inlineStr">
        <is>
          <t>OSKARSHAMN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46263</v>
      </c>
      <c r="F464" t="inlineStr">
        <is>
          <t>KALMAR LÄN</t>
        </is>
      </c>
      <c r="G464" t="inlineStr">
        <is>
          <t>OSKARSHAMN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44963</v>
      </c>
      <c r="E465" s="1" t="n">
        <v>46263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27919-2023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46263</v>
      </c>
      <c r="F466" t="inlineStr">
        <is>
          <t>KALMAR LÄN</t>
        </is>
      </c>
      <c r="G466" t="inlineStr">
        <is>
          <t>OSKARSHAMN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45163</v>
      </c>
      <c r="E467" s="1" t="n">
        <v>46263</v>
      </c>
      <c r="F467" t="inlineStr">
        <is>
          <t>KALMAR LÄN</t>
        </is>
      </c>
      <c r="G467" t="inlineStr">
        <is>
          <t>OSKARSHAMN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44564</v>
      </c>
      <c r="E468" s="1" t="n">
        <v>46263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45021</v>
      </c>
      <c r="E469" s="1" t="n">
        <v>46263</v>
      </c>
      <c r="F469" t="inlineStr">
        <is>
          <t>KALMAR LÄN</t>
        </is>
      </c>
      <c r="G469" t="inlineStr">
        <is>
          <t>OSKARSHAMN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45007</v>
      </c>
      <c r="E470" s="1" t="n">
        <v>46263</v>
      </c>
      <c r="F470" t="inlineStr">
        <is>
          <t>KALMAR LÄN</t>
        </is>
      </c>
      <c r="G470" t="inlineStr">
        <is>
          <t>OSKARSHAMN</t>
        </is>
      </c>
      <c r="H470" t="inlineStr">
        <is>
          <t>Övriga Aktiebolag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57483-2021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44483</v>
      </c>
      <c r="E471" s="1" t="n">
        <v>46263</v>
      </c>
      <c r="F471" t="inlineStr">
        <is>
          <t>KALMAR LÄN</t>
        </is>
      </c>
      <c r="G471" t="inlineStr">
        <is>
          <t>OSKARSHAMN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46263</v>
      </c>
      <c r="F472" t="inlineStr">
        <is>
          <t>KALMAR LÄN</t>
        </is>
      </c>
      <c r="G472" t="inlineStr">
        <is>
          <t>OSKARSHAMN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9919-2022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44620</v>
      </c>
      <c r="E473" s="1" t="n">
        <v>46263</v>
      </c>
      <c r="F473" t="inlineStr">
        <is>
          <t>KALMAR LÄN</t>
        </is>
      </c>
      <c r="G473" t="inlineStr">
        <is>
          <t>OSKARSHAMN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44978</v>
      </c>
      <c r="E474" s="1" t="n">
        <v>46263</v>
      </c>
      <c r="F474" t="inlineStr">
        <is>
          <t>KALMAR LÄN</t>
        </is>
      </c>
      <c r="G474" t="inlineStr">
        <is>
          <t>OSKARSHAMN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46263</v>
      </c>
      <c r="F475" t="inlineStr">
        <is>
          <t>KALMAR LÄN</t>
        </is>
      </c>
      <c r="G475" t="inlineStr">
        <is>
          <t>OSKARSHAMN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45212</v>
      </c>
      <c r="E476" s="1" t="n">
        <v>46263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46263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55569-2024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45621</v>
      </c>
      <c r="E478" s="1" t="n">
        <v>46263</v>
      </c>
      <c r="F478" t="inlineStr">
        <is>
          <t>KALMAR LÄN</t>
        </is>
      </c>
      <c r="G478" t="inlineStr">
        <is>
          <t>OSKARSHAMN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46263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46263</v>
      </c>
      <c r="F480" t="inlineStr">
        <is>
          <t>KALMAR LÄN</t>
        </is>
      </c>
      <c r="G480" t="inlineStr">
        <is>
          <t>OSKARSHAMN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4097-2024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45323</v>
      </c>
      <c r="E481" s="1" t="n">
        <v>46263</v>
      </c>
      <c r="F481" t="inlineStr">
        <is>
          <t>KALMAR LÄN</t>
        </is>
      </c>
      <c r="G481" t="inlineStr">
        <is>
          <t>OSKARSHAMN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46263</v>
      </c>
      <c r="F482" t="inlineStr">
        <is>
          <t>KALMAR LÄN</t>
        </is>
      </c>
      <c r="G482" t="inlineStr">
        <is>
          <t>OSKARSHAMN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46263</v>
      </c>
      <c r="F483" t="inlineStr">
        <is>
          <t>KALMAR LÄN</t>
        </is>
      </c>
      <c r="G483" t="inlineStr">
        <is>
          <t>OSKARSHAMN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45019</v>
      </c>
      <c r="E484" s="1" t="n">
        <v>46263</v>
      </c>
      <c r="F484" t="inlineStr">
        <is>
          <t>KALMAR LÄN</t>
        </is>
      </c>
      <c r="G484" t="inlineStr">
        <is>
          <t>OSKARSHAMN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46263</v>
      </c>
      <c r="F485" t="inlineStr">
        <is>
          <t>KALMAR LÄN</t>
        </is>
      </c>
      <c r="G485" t="inlineStr">
        <is>
          <t>OSKARSHAMN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46263</v>
      </c>
      <c r="F486" t="inlineStr">
        <is>
          <t>KALMAR LÄN</t>
        </is>
      </c>
      <c r="G486" t="inlineStr">
        <is>
          <t>OSKARSHAMN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46263</v>
      </c>
      <c r="F487" t="inlineStr">
        <is>
          <t>KALMAR LÄN</t>
        </is>
      </c>
      <c r="G487" t="inlineStr">
        <is>
          <t>OSKARSHAMN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45364</v>
      </c>
      <c r="E488" s="1" t="n">
        <v>46263</v>
      </c>
      <c r="F488" t="inlineStr">
        <is>
          <t>KALMAR LÄN</t>
        </is>
      </c>
      <c r="G488" t="inlineStr">
        <is>
          <t>OSKARSHAMN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20758-2026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46141</v>
      </c>
      <c r="E489" s="1" t="n">
        <v>46263</v>
      </c>
      <c r="F489" t="inlineStr">
        <is>
          <t>KALMAR LÄN</t>
        </is>
      </c>
      <c r="G489" t="inlineStr">
        <is>
          <t>OSKARSHAMN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46263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20769-2026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46263</v>
      </c>
      <c r="F491" t="inlineStr">
        <is>
          <t>KALMAR LÄN</t>
        </is>
      </c>
      <c r="G491" t="inlineStr">
        <is>
          <t>OSKARSHAMN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45022</v>
      </c>
      <c r="E492" s="1" t="n">
        <v>46263</v>
      </c>
      <c r="F492" t="inlineStr">
        <is>
          <t>KALMAR LÄN</t>
        </is>
      </c>
      <c r="G492" t="inlineStr">
        <is>
          <t>OSKARSHAMN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46263</v>
      </c>
      <c r="F493" t="inlineStr">
        <is>
          <t>KALMAR LÄN</t>
        </is>
      </c>
      <c r="G493" t="inlineStr">
        <is>
          <t>OSKARSHAMN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8499-2023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44977</v>
      </c>
      <c r="E494" s="1" t="n">
        <v>46263</v>
      </c>
      <c r="F494" t="inlineStr">
        <is>
          <t>KALMAR LÄN</t>
        </is>
      </c>
      <c r="G494" t="inlineStr">
        <is>
          <t>OSKARSHAMN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44987</v>
      </c>
      <c r="E495" s="1" t="n">
        <v>46263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46263</v>
      </c>
      <c r="F496" t="inlineStr">
        <is>
          <t>KALMAR LÄN</t>
        </is>
      </c>
      <c r="G496" t="inlineStr">
        <is>
          <t>OSKARSHAMN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45218</v>
      </c>
      <c r="E497" s="1" t="n">
        <v>46263</v>
      </c>
      <c r="F497" t="inlineStr">
        <is>
          <t>KALMAR LÄN</t>
        </is>
      </c>
      <c r="G497" t="inlineStr">
        <is>
          <t>OSKARSHAMN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45051</v>
      </c>
      <c r="E498" s="1" t="n">
        <v>46263</v>
      </c>
      <c r="F498" t="inlineStr">
        <is>
          <t>KALMAR LÄN</t>
        </is>
      </c>
      <c r="G498" t="inlineStr">
        <is>
          <t>OSKARSHAMN</t>
        </is>
      </c>
      <c r="H498" t="inlineStr">
        <is>
          <t>Kommuner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44755</v>
      </c>
      <c r="E499" s="1" t="n">
        <v>46263</v>
      </c>
      <c r="F499" t="inlineStr">
        <is>
          <t>KALMAR LÄN</t>
        </is>
      </c>
      <c r="G499" t="inlineStr">
        <is>
          <t>OSKARSHAMN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18349-2023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45041</v>
      </c>
      <c r="E500" s="1" t="n">
        <v>46263</v>
      </c>
      <c r="F500" t="inlineStr">
        <is>
          <t>KALMAR LÄN</t>
        </is>
      </c>
      <c r="G500" t="inlineStr">
        <is>
          <t>OSKARSHAMN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46263</v>
      </c>
      <c r="F501" t="inlineStr">
        <is>
          <t>KALMAR LÄN</t>
        </is>
      </c>
      <c r="G501" t="inlineStr">
        <is>
          <t>OSKARSHAMN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46263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29022-2022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44749</v>
      </c>
      <c r="E503" s="1" t="n">
        <v>46263</v>
      </c>
      <c r="F503" t="inlineStr">
        <is>
          <t>KALMAR LÄN</t>
        </is>
      </c>
      <c r="G503" t="inlineStr">
        <is>
          <t>OSKARSHAMN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45841-2023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45195</v>
      </c>
      <c r="E504" s="1" t="n">
        <v>46263</v>
      </c>
      <c r="F504" t="inlineStr">
        <is>
          <t>KALMAR LÄN</t>
        </is>
      </c>
      <c r="G504" t="inlineStr">
        <is>
          <t>OSKARSHAMN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46263</v>
      </c>
      <c r="F505" t="inlineStr">
        <is>
          <t>KALMAR LÄN</t>
        </is>
      </c>
      <c r="G505" t="inlineStr">
        <is>
          <t>OSKARSHAMN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15875-2022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44664</v>
      </c>
      <c r="E506" s="1" t="n">
        <v>46263</v>
      </c>
      <c r="F506" t="inlineStr">
        <is>
          <t>KALMAR LÄN</t>
        </is>
      </c>
      <c r="G506" t="inlineStr">
        <is>
          <t>OSKARSHAMN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10725-2024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45369</v>
      </c>
      <c r="E507" s="1" t="n">
        <v>46263</v>
      </c>
      <c r="F507" t="inlineStr">
        <is>
          <t>KALMAR LÄN</t>
        </is>
      </c>
      <c r="G507" t="inlineStr">
        <is>
          <t>OSKARSHAMN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45900-2024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45580</v>
      </c>
      <c r="E508" s="1" t="n">
        <v>46263</v>
      </c>
      <c r="F508" t="inlineStr">
        <is>
          <t>KALMAR LÄN</t>
        </is>
      </c>
      <c r="G508" t="inlineStr">
        <is>
          <t>OSKARSHAMN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45314</v>
      </c>
      <c r="E509" s="1" t="n">
        <v>46263</v>
      </c>
      <c r="F509" t="inlineStr">
        <is>
          <t>KALMAR LÄN</t>
        </is>
      </c>
      <c r="G509" t="inlineStr">
        <is>
          <t>OSKARSHAMN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21906-2022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44711</v>
      </c>
      <c r="E510" s="1" t="n">
        <v>46263</v>
      </c>
      <c r="F510" t="inlineStr">
        <is>
          <t>KALMAR LÄN</t>
        </is>
      </c>
      <c r="G510" t="inlineStr">
        <is>
          <t>OSKARSHAMN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46263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46263</v>
      </c>
      <c r="F512" t="inlineStr">
        <is>
          <t>KALMAR LÄN</t>
        </is>
      </c>
      <c r="G512" t="inlineStr">
        <is>
          <t>OSKARSHAMN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46263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46263</v>
      </c>
      <c r="F514" t="inlineStr">
        <is>
          <t>KALMAR LÄN</t>
        </is>
      </c>
      <c r="G514" t="inlineStr">
        <is>
          <t>OSKARSHAMN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46263</v>
      </c>
      <c r="F515" t="inlineStr">
        <is>
          <t>KALMAR LÄN</t>
        </is>
      </c>
      <c r="G515" t="inlineStr">
        <is>
          <t>OSKARSHAMN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44943</v>
      </c>
      <c r="E516" s="1" t="n">
        <v>46263</v>
      </c>
      <c r="F516" t="inlineStr">
        <is>
          <t>KALMAR LÄN</t>
        </is>
      </c>
      <c r="G516" t="inlineStr">
        <is>
          <t>OSKARSHAMN</t>
        </is>
      </c>
      <c r="I516" t="n">
        <v>10.8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46263</v>
      </c>
      <c r="F517" t="inlineStr">
        <is>
          <t>KALMAR LÄN</t>
        </is>
      </c>
      <c r="G517" t="inlineStr">
        <is>
          <t>OSKARSHAMN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32937-2023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45113</v>
      </c>
      <c r="E518" s="1" t="n">
        <v>46263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45701</v>
      </c>
      <c r="E519" s="1" t="n">
        <v>46263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45691</v>
      </c>
      <c r="E520" s="1" t="n">
        <v>46263</v>
      </c>
      <c r="F520" t="inlineStr">
        <is>
          <t>KALMAR LÄN</t>
        </is>
      </c>
      <c r="G520" t="inlineStr">
        <is>
          <t>OSKARSHAMN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50256-2023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45209</v>
      </c>
      <c r="E521" s="1" t="n">
        <v>46263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17623-2023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45036</v>
      </c>
      <c r="E522" s="1" t="n">
        <v>46263</v>
      </c>
      <c r="F522" t="inlineStr">
        <is>
          <t>KALMAR LÄN</t>
        </is>
      </c>
      <c r="G522" t="inlineStr">
        <is>
          <t>OSKARSHAMN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45695</v>
      </c>
      <c r="E523" s="1" t="n">
        <v>46263</v>
      </c>
      <c r="F523" t="inlineStr">
        <is>
          <t>KALMAR LÄN</t>
        </is>
      </c>
      <c r="G523" t="inlineStr">
        <is>
          <t>OSKARSHAMN</t>
        </is>
      </c>
      <c r="I523" t="n">
        <v>11.2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45119</v>
      </c>
      <c r="E524" s="1" t="n">
        <v>46263</v>
      </c>
      <c r="F524" t="inlineStr">
        <is>
          <t>KALMAR LÄN</t>
        </is>
      </c>
      <c r="G524" t="inlineStr">
        <is>
          <t>OSKARSHAMN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45469</v>
      </c>
      <c r="E525" s="1" t="n">
        <v>46263</v>
      </c>
      <c r="F525" t="inlineStr">
        <is>
          <t>KALMAR LÄN</t>
        </is>
      </c>
      <c r="G525" t="inlineStr">
        <is>
          <t>OSKARSHAMN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14129-2025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45740</v>
      </c>
      <c r="E526" s="1" t="n">
        <v>46263</v>
      </c>
      <c r="F526" t="inlineStr">
        <is>
          <t>KALMAR LÄN</t>
        </is>
      </c>
      <c r="G526" t="inlineStr">
        <is>
          <t>OSKARSHAMN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45469</v>
      </c>
      <c r="E527" s="1" t="n">
        <v>46263</v>
      </c>
      <c r="F527" t="inlineStr">
        <is>
          <t>KALMAR LÄN</t>
        </is>
      </c>
      <c r="G527" t="inlineStr">
        <is>
          <t>OSKARSHAMN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46263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46263</v>
      </c>
      <c r="F529" t="inlineStr">
        <is>
          <t>KALMAR LÄN</t>
        </is>
      </c>
      <c r="G529" t="inlineStr">
        <is>
          <t>OSKARSHAMN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46263</v>
      </c>
      <c r="F530" t="inlineStr">
        <is>
          <t>KALMAR LÄN</t>
        </is>
      </c>
      <c r="G530" t="inlineStr">
        <is>
          <t>OSKARSHAMN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46263</v>
      </c>
      <c r="F531" t="inlineStr">
        <is>
          <t>KALMAR LÄN</t>
        </is>
      </c>
      <c r="G531" t="inlineStr">
        <is>
          <t>OSKARSHAMN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46263</v>
      </c>
      <c r="F532" t="inlineStr">
        <is>
          <t>KALMAR LÄN</t>
        </is>
      </c>
      <c r="G532" t="inlineStr">
        <is>
          <t>OSKARSHAMN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46147</v>
      </c>
      <c r="E533" s="1" t="n">
        <v>46263</v>
      </c>
      <c r="F533" t="inlineStr">
        <is>
          <t>KALMAR LÄN</t>
        </is>
      </c>
      <c r="G533" t="inlineStr">
        <is>
          <t>OSKARSHAMN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26026-2026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46181</v>
      </c>
      <c r="E534" s="1" t="n">
        <v>46263</v>
      </c>
      <c r="F534" t="inlineStr">
        <is>
          <t>KALMAR LÄN</t>
        </is>
      </c>
      <c r="G534" t="inlineStr">
        <is>
          <t>OSKARSHAMN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46263</v>
      </c>
      <c r="F535" t="inlineStr">
        <is>
          <t>KALMAR LÄN</t>
        </is>
      </c>
      <c r="G535" t="inlineStr">
        <is>
          <t>OSKARSHAMN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46263</v>
      </c>
      <c r="F536" t="inlineStr">
        <is>
          <t>KALMAR LÄN</t>
        </is>
      </c>
      <c r="G536" t="inlineStr">
        <is>
          <t>OSKARSHAMN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46263</v>
      </c>
      <c r="F537" t="inlineStr">
        <is>
          <t>KALMAR LÄN</t>
        </is>
      </c>
      <c r="G537" t="inlineStr">
        <is>
          <t>OSKARSHAMN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46263</v>
      </c>
      <c r="F538" t="inlineStr">
        <is>
          <t>KALMAR LÄN</t>
        </is>
      </c>
      <c r="G538" t="inlineStr">
        <is>
          <t>OSKARSHAMN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46263</v>
      </c>
      <c r="F539" t="inlineStr">
        <is>
          <t>KALMAR LÄN</t>
        </is>
      </c>
      <c r="G539" t="inlineStr">
        <is>
          <t>OSKARSHAMN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46263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29619-2026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46199</v>
      </c>
      <c r="E541" s="1" t="n">
        <v>46263</v>
      </c>
      <c r="F541" t="inlineStr">
        <is>
          <t>KALMAR LÄN</t>
        </is>
      </c>
      <c r="G541" t="inlineStr">
        <is>
          <t>OSKARSHAMN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46243</v>
      </c>
      <c r="E542" s="1" t="n">
        <v>46263</v>
      </c>
      <c r="F542" t="inlineStr">
        <is>
          <t>KALMAR LÄN</t>
        </is>
      </c>
      <c r="G542" t="inlineStr">
        <is>
          <t>OSKARSHAMN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46243</v>
      </c>
      <c r="E543" s="1" t="n">
        <v>46263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28909-2026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46263</v>
      </c>
      <c r="F544" t="inlineStr">
        <is>
          <t>KALMAR LÄN</t>
        </is>
      </c>
      <c r="G544" t="inlineStr">
        <is>
          <t>OSKARSHAMN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46263</v>
      </c>
      <c r="F545" t="inlineStr">
        <is>
          <t>KALMAR LÄN</t>
        </is>
      </c>
      <c r="G545" t="inlineStr">
        <is>
          <t>OSKARSHAMN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46263</v>
      </c>
      <c r="F546" t="inlineStr">
        <is>
          <t>KALMAR LÄN</t>
        </is>
      </c>
      <c r="G546" t="inlineStr">
        <is>
          <t>OSKARSHAMN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46263</v>
      </c>
      <c r="F547" t="inlineStr">
        <is>
          <t>KALMAR LÄN</t>
        </is>
      </c>
      <c r="G547" t="inlineStr">
        <is>
          <t>OSKARSHAMN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46263</v>
      </c>
      <c r="F548" t="inlineStr">
        <is>
          <t>KALMAR LÄN</t>
        </is>
      </c>
      <c r="G548" t="inlineStr">
        <is>
          <t>OSKARSHAMN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46263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46263</v>
      </c>
      <c r="F550" t="inlineStr">
        <is>
          <t>KALMAR LÄN</t>
        </is>
      </c>
      <c r="G550" t="inlineStr">
        <is>
          <t>OSKARSHAMN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46263</v>
      </c>
      <c r="F551" t="inlineStr">
        <is>
          <t>KALMAR LÄN</t>
        </is>
      </c>
      <c r="G551" t="inlineStr">
        <is>
          <t>OSKARSHAMN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46263</v>
      </c>
      <c r="F552" t="inlineStr">
        <is>
          <t>KALMAR LÄN</t>
        </is>
      </c>
      <c r="G552" t="inlineStr">
        <is>
          <t>OSKARSHAMN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46263</v>
      </c>
      <c r="F553" t="inlineStr">
        <is>
          <t>KALMAR LÄN</t>
        </is>
      </c>
      <c r="G553" t="inlineStr">
        <is>
          <t>OSKARSHAMN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46263</v>
      </c>
      <c r="F554" t="inlineStr">
        <is>
          <t>KALMAR LÄN</t>
        </is>
      </c>
      <c r="G554" t="inlineStr">
        <is>
          <t>OSKARSHAMN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46202</v>
      </c>
      <c r="E555" s="1" t="n">
        <v>46263</v>
      </c>
      <c r="F555" t="inlineStr">
        <is>
          <t>KALMAR LÄN</t>
        </is>
      </c>
      <c r="G555" t="inlineStr">
        <is>
          <t>OSKARSHAMN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46263</v>
      </c>
      <c r="F556" t="inlineStr">
        <is>
          <t>KALMAR LÄN</t>
        </is>
      </c>
      <c r="G556" t="inlineStr">
        <is>
          <t>OSKARSHAMN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29423-2026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46263</v>
      </c>
      <c r="F557" t="inlineStr">
        <is>
          <t>KALMAR LÄN</t>
        </is>
      </c>
      <c r="G557" t="inlineStr">
        <is>
          <t>OSKARSHAMN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28100-2026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46195</v>
      </c>
      <c r="E558" s="1" t="n">
        <v>46263</v>
      </c>
      <c r="F558" t="inlineStr">
        <is>
          <t>KALMAR LÄN</t>
        </is>
      </c>
      <c r="G558" t="inlineStr">
        <is>
          <t>OSKARSHAMN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46263</v>
      </c>
      <c r="F559" t="inlineStr">
        <is>
          <t>KALMAR LÄN</t>
        </is>
      </c>
      <c r="G559" t="inlineStr">
        <is>
          <t>OSKARSHAMN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46263</v>
      </c>
      <c r="F560" t="inlineStr">
        <is>
          <t>KALMAR LÄN</t>
        </is>
      </c>
      <c r="G560" t="inlineStr">
        <is>
          <t>OSKARSHAMN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46211</v>
      </c>
      <c r="E561" s="1" t="n">
        <v>46263</v>
      </c>
      <c r="F561" t="inlineStr">
        <is>
          <t>KALMAR LÄN</t>
        </is>
      </c>
      <c r="G561" t="inlineStr">
        <is>
          <t>OSKARSHAMN</t>
        </is>
      </c>
      <c r="I561" t="n">
        <v>13.6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46210</v>
      </c>
      <c r="E562" s="1" t="n">
        <v>46263</v>
      </c>
      <c r="F562" t="inlineStr">
        <is>
          <t>KALMAR LÄN</t>
        </is>
      </c>
      <c r="G562" t="inlineStr">
        <is>
          <t>OSKARSHAMN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46263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651-2022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44594</v>
      </c>
      <c r="E564" s="1" t="n">
        <v>46263</v>
      </c>
      <c r="F564" t="inlineStr">
        <is>
          <t>KALMAR LÄN</t>
        </is>
      </c>
      <c r="G564" t="inlineStr">
        <is>
          <t>OSKARSHAMN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2026-2022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44665</v>
      </c>
      <c r="E565" s="1" t="n">
        <v>46263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1437-2022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44634</v>
      </c>
      <c r="E566" s="1" t="n">
        <v>46263</v>
      </c>
      <c r="F566" t="inlineStr">
        <is>
          <t>KALMAR LÄN</t>
        </is>
      </c>
      <c r="G566" t="inlineStr">
        <is>
          <t>OSKARSHAMN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679-2024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46263</v>
      </c>
      <c r="F567" t="inlineStr">
        <is>
          <t>KALMAR LÄN</t>
        </is>
      </c>
      <c r="G567" t="inlineStr">
        <is>
          <t>OSKARSHAMN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4832-2024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45615</v>
      </c>
      <c r="E568" s="1" t="n">
        <v>46263</v>
      </c>
      <c r="F568" t="inlineStr">
        <is>
          <t>KALMAR LÄN</t>
        </is>
      </c>
      <c r="G568" t="inlineStr">
        <is>
          <t>OSKARSHAMN</t>
        </is>
      </c>
      <c r="H568" t="inlineStr">
        <is>
          <t>Kommuner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45078</v>
      </c>
      <c r="E569" s="1" t="n">
        <v>46263</v>
      </c>
      <c r="F569" t="inlineStr">
        <is>
          <t>KALMAR LÄN</t>
        </is>
      </c>
      <c r="G569" t="inlineStr">
        <is>
          <t>OSKARSHAMN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46263</v>
      </c>
      <c r="F570" t="inlineStr">
        <is>
          <t>KALMAR LÄN</t>
        </is>
      </c>
      <c r="G570" t="inlineStr">
        <is>
          <t>OSKARSHAMN</t>
        </is>
      </c>
      <c r="I570" t="n">
        <v>52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46263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46263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46263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46263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46263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46263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46263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46263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46263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46263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46263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46263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46263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46263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46263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46263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2026-08-29T01:55:21Z</dcterms:created>
  <dcterms:modified xmlns:dcterms="http://purl.org/dc/terms/" xmlns:xsi="http://www.w3.org/2001/XMLSchema-instance" xsi:type="dcterms:W3CDTF">2026-08-29T01:55:21Z</dcterms:modified>
</cp:coreProperties>
</file>