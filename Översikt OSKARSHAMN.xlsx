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45884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45884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10887-2025</t>
        </is>
      </c>
      <c r="B6" s="1" t="n">
        <v>45722.66604166666</v>
      </c>
      <c r="C6" s="1" t="n">
        <v>45884</v>
      </c>
      <c r="D6" t="inlineStr">
        <is>
          <t>KALMAR LÄN</t>
        </is>
      </c>
      <c r="E6" t="inlineStr">
        <is>
          <t>OSKARSHAMN</t>
        </is>
      </c>
      <c r="G6" t="n">
        <v>1.5</v>
      </c>
      <c r="H6" t="n">
        <v>4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Bredgentiana
Backklöver
Gullklöver
Slåtterfibbla
Solvända
Spindelört
Brudsporre
Nattviol
Gullviva</t>
        </is>
      </c>
      <c r="S6">
        <f>HYPERLINK("https://klasma.github.io/Logging_0882/artfynd/A 10887-2025 artfynd.xlsx", "A 10887-2025")</f>
        <v/>
      </c>
      <c r="T6">
        <f>HYPERLINK("https://klasma.github.io/Logging_0882/kartor/A 10887-2025 karta.png", "A 10887-2025")</f>
        <v/>
      </c>
      <c r="V6">
        <f>HYPERLINK("https://klasma.github.io/Logging_0882/klagomål/A 10887-2025 FSC-klagomål.docx", "A 10887-2025")</f>
        <v/>
      </c>
      <c r="W6">
        <f>HYPERLINK("https://klasma.github.io/Logging_0882/klagomålsmail/A 10887-2025 FSC-klagomål mail.docx", "A 10887-2025")</f>
        <v/>
      </c>
      <c r="X6">
        <f>HYPERLINK("https://klasma.github.io/Logging_0882/tillsyn/A 10887-2025 tillsynsbegäran.docx", "A 10887-2025")</f>
        <v/>
      </c>
      <c r="Y6">
        <f>HYPERLINK("https://klasma.github.io/Logging_0882/tillsynsmail/A 10887-2025 tillsynsbegäran mail.docx", "A 10887-2025")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45884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45884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5162-2025</t>
        </is>
      </c>
      <c r="B10" s="1" t="n">
        <v>45691</v>
      </c>
      <c r="C10" s="1" t="n">
        <v>45884</v>
      </c>
      <c r="D10" t="inlineStr">
        <is>
          <t>KALMAR LÄN</t>
        </is>
      </c>
      <c r="E10" t="inlineStr">
        <is>
          <t>OSKARSHAMN</t>
        </is>
      </c>
      <c r="G10" t="n">
        <v>9.300000000000001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Spillkråka
Tallticka
Vedskivlav
Blodticka
Blåmossa
Grovticka
Mindre märgborre</t>
        </is>
      </c>
      <c r="S10">
        <f>HYPERLINK("https://klasma.github.io/Logging_0882/artfynd/A 5162-2025 artfynd.xlsx", "A 5162-2025")</f>
        <v/>
      </c>
      <c r="T10">
        <f>HYPERLINK("https://klasma.github.io/Logging_0882/kartor/A 5162-2025 karta.png", "A 5162-2025")</f>
        <v/>
      </c>
      <c r="V10">
        <f>HYPERLINK("https://klasma.github.io/Logging_0882/klagomål/A 5162-2025 FSC-klagomål.docx", "A 5162-2025")</f>
        <v/>
      </c>
      <c r="W10">
        <f>HYPERLINK("https://klasma.github.io/Logging_0882/klagomålsmail/A 5162-2025 FSC-klagomål mail.docx", "A 5162-2025")</f>
        <v/>
      </c>
      <c r="X10">
        <f>HYPERLINK("https://klasma.github.io/Logging_0882/tillsyn/A 5162-2025 tillsynsbegäran.docx", "A 5162-2025")</f>
        <v/>
      </c>
      <c r="Y10">
        <f>HYPERLINK("https://klasma.github.io/Logging_0882/tillsynsmail/A 5162-2025 tillsynsbegäran mail.docx", "A 5162-2025")</f>
        <v/>
      </c>
      <c r="Z10">
        <f>HYPERLINK("https://klasma.github.io/Logging_0882/fåglar/A 5162-2025 prioriterade fågelarter.docx", "A 5162-2025")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45884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45884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45884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45884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45884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45884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45884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45884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45884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45884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45884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4645-2023</t>
        </is>
      </c>
      <c r="B22" s="1" t="n">
        <v>44952</v>
      </c>
      <c r="C22" s="1" t="n">
        <v>45884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Kungsfågel</t>
        </is>
      </c>
      <c r="S22">
        <f>HYPERLINK("https://klasma.github.io/Logging_0882/artfynd/A 4645-2023 artfynd.xlsx", "A 4645-2023")</f>
        <v/>
      </c>
      <c r="T22">
        <f>HYPERLINK("https://klasma.github.io/Logging_0882/kartor/A 4645-2023 karta.png", "A 4645-2023")</f>
        <v/>
      </c>
      <c r="V22">
        <f>HYPERLINK("https://klasma.github.io/Logging_0882/klagomål/A 4645-2023 FSC-klagomål.docx", "A 4645-2023")</f>
        <v/>
      </c>
      <c r="W22">
        <f>HYPERLINK("https://klasma.github.io/Logging_0882/klagomålsmail/A 4645-2023 FSC-klagomål mail.docx", "A 4645-2023")</f>
        <v/>
      </c>
      <c r="X22">
        <f>HYPERLINK("https://klasma.github.io/Logging_0882/tillsyn/A 4645-2023 tillsynsbegäran.docx", "A 4645-2023")</f>
        <v/>
      </c>
      <c r="Y22">
        <f>HYPERLINK("https://klasma.github.io/Logging_0882/tillsynsmail/A 4645-2023 tillsynsbegäran mail.docx", "A 4645-2023")</f>
        <v/>
      </c>
      <c r="Z22">
        <f>HYPERLINK("https://klasma.github.io/Logging_0882/fåglar/A 4645-2023 prioriterade fågelarter.docx", "A 4645-2023")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45884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45884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45884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45884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45884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19334-2025</t>
        </is>
      </c>
      <c r="B28" s="1" t="n">
        <v>45769.58797453704</v>
      </c>
      <c r="C28" s="1" t="n">
        <v>45884</v>
      </c>
      <c r="D28" t="inlineStr">
        <is>
          <t>KALMAR LÄN</t>
        </is>
      </c>
      <c r="E28" t="inlineStr">
        <is>
          <t>OSKARSHAMN</t>
        </is>
      </c>
      <c r="G28" t="n">
        <v>14.9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Backtimjan
Flentimotej</t>
        </is>
      </c>
      <c r="S28">
        <f>HYPERLINK("https://klasma.github.io/Logging_0882/artfynd/A 19334-2025 artfynd.xlsx", "A 19334-2025")</f>
        <v/>
      </c>
      <c r="T28">
        <f>HYPERLINK("https://klasma.github.io/Logging_0882/kartor/A 19334-2025 karta.png", "A 19334-2025")</f>
        <v/>
      </c>
      <c r="V28">
        <f>HYPERLINK("https://klasma.github.io/Logging_0882/klagomål/A 19334-2025 FSC-klagomål.docx", "A 19334-2025")</f>
        <v/>
      </c>
      <c r="W28">
        <f>HYPERLINK("https://klasma.github.io/Logging_0882/klagomålsmail/A 19334-2025 FSC-klagomål mail.docx", "A 19334-2025")</f>
        <v/>
      </c>
      <c r="X28">
        <f>HYPERLINK("https://klasma.github.io/Logging_0882/tillsyn/A 19334-2025 tillsynsbegäran.docx", "A 19334-2025")</f>
        <v/>
      </c>
      <c r="Y28">
        <f>HYPERLINK("https://klasma.github.io/Logging_0882/tillsynsmail/A 19334-2025 tillsynsbegäran mail.docx", "A 19334-2025")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45884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22297-2024</t>
        </is>
      </c>
      <c r="B30" s="1" t="n">
        <v>45446</v>
      </c>
      <c r="C30" s="1" t="n">
        <v>45884</v>
      </c>
      <c r="D30" t="inlineStr">
        <is>
          <t>KALMAR LÄN</t>
        </is>
      </c>
      <c r="E30" t="inlineStr">
        <is>
          <t>OSKARSHAMN</t>
        </is>
      </c>
      <c r="G30" t="n">
        <v>3.4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Ekticka
Blomskägglav</t>
        </is>
      </c>
      <c r="S30">
        <f>HYPERLINK("https://klasma.github.io/Logging_0882/artfynd/A 22297-2024 artfynd.xlsx", "A 22297-2024")</f>
        <v/>
      </c>
      <c r="T30">
        <f>HYPERLINK("https://klasma.github.io/Logging_0882/kartor/A 22297-2024 karta.png", "A 22297-2024")</f>
        <v/>
      </c>
      <c r="V30">
        <f>HYPERLINK("https://klasma.github.io/Logging_0882/klagomål/A 22297-2024 FSC-klagomål.docx", "A 22297-2024")</f>
        <v/>
      </c>
      <c r="W30">
        <f>HYPERLINK("https://klasma.github.io/Logging_0882/klagomålsmail/A 22297-2024 FSC-klagomål mail.docx", "A 22297-2024")</f>
        <v/>
      </c>
      <c r="X30">
        <f>HYPERLINK("https://klasma.github.io/Logging_0882/tillsyn/A 22297-2024 tillsynsbegäran.docx", "A 22297-2024")</f>
        <v/>
      </c>
      <c r="Y30">
        <f>HYPERLINK("https://klasma.github.io/Logging_0882/tillsynsmail/A 22297-2024 tillsynsbegäran mail.docx", "A 22297-2024")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45884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45884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45884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45884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45884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45884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45884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45884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15817-2025</t>
        </is>
      </c>
      <c r="B41" s="1" t="n">
        <v>45748.67875</v>
      </c>
      <c r="C41" s="1" t="n">
        <v>45884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HYPERLINK("https://klasma.github.io/Logging_0882/artfynd/A 15817-2025 artfynd.xlsx", "A 15817-2025")</f>
        <v/>
      </c>
      <c r="T41">
        <f>HYPERLINK("https://klasma.github.io/Logging_0882/kartor/A 15817-2025 karta.png", "A 15817-2025")</f>
        <v/>
      </c>
      <c r="V41">
        <f>HYPERLINK("https://klasma.github.io/Logging_0882/klagomål/A 15817-2025 FSC-klagomål.docx", "A 15817-2025")</f>
        <v/>
      </c>
      <c r="W41">
        <f>HYPERLINK("https://klasma.github.io/Logging_0882/klagomålsmail/A 15817-2025 FSC-klagomål mail.docx", "A 15817-2025")</f>
        <v/>
      </c>
      <c r="X41">
        <f>HYPERLINK("https://klasma.github.io/Logging_0882/tillsyn/A 15817-2025 tillsynsbegäran.docx", "A 15817-2025")</f>
        <v/>
      </c>
      <c r="Y41">
        <f>HYPERLINK("https://klasma.github.io/Logging_0882/tillsynsmail/A 15817-2025 tillsynsbegäran mail.docx", "A 15817-2025")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45884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45884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45884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45884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6818-2025</t>
        </is>
      </c>
      <c r="B46" s="1" t="n">
        <v>45700.71092592592</v>
      </c>
      <c r="C46" s="1" t="n">
        <v>45884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6818-2025 artfynd.xlsx", "A 6818-2025")</f>
        <v/>
      </c>
      <c r="T46">
        <f>HYPERLINK("https://klasma.github.io/Logging_0882/kartor/A 6818-2025 karta.png", "A 6818-2025")</f>
        <v/>
      </c>
      <c r="V46">
        <f>HYPERLINK("https://klasma.github.io/Logging_0882/klagomål/A 6818-2025 FSC-klagomål.docx", "A 6818-2025")</f>
        <v/>
      </c>
      <c r="W46">
        <f>HYPERLINK("https://klasma.github.io/Logging_0882/klagomålsmail/A 6818-2025 FSC-klagomål mail.docx", "A 6818-2025")</f>
        <v/>
      </c>
      <c r="X46">
        <f>HYPERLINK("https://klasma.github.io/Logging_0882/tillsyn/A 6818-2025 tillsynsbegäran.docx", "A 6818-2025")</f>
        <v/>
      </c>
      <c r="Y46">
        <f>HYPERLINK("https://klasma.github.io/Logging_0882/tillsynsmail/A 6818-2025 tillsynsbegäran mail.docx", "A 6818-2025")</f>
        <v/>
      </c>
      <c r="Z46">
        <f>HYPERLINK("https://klasma.github.io/Logging_0882/fåglar/A 6818-2025 prioriterade fågelarter.docx", "A 6818-2025")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45884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45884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42248-2020</t>
        </is>
      </c>
      <c r="B49" s="1" t="n">
        <v>44076</v>
      </c>
      <c r="C49" s="1" t="n">
        <v>45884</v>
      </c>
      <c r="D49" t="inlineStr">
        <is>
          <t>KALMAR LÄN</t>
        </is>
      </c>
      <c r="E49" t="inlineStr">
        <is>
          <t>OSKARSHAMN</t>
        </is>
      </c>
      <c r="G49" t="n">
        <v>2.5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HYPERLINK("https://klasma.github.io/Logging_0882/artfynd/A 42248-2020 artfynd.xlsx", "A 42248-2020")</f>
        <v/>
      </c>
      <c r="T49">
        <f>HYPERLINK("https://klasma.github.io/Logging_0882/kartor/A 42248-2020 karta.png", "A 42248-2020")</f>
        <v/>
      </c>
      <c r="V49">
        <f>HYPERLINK("https://klasma.github.io/Logging_0882/klagomål/A 42248-2020 FSC-klagomål.docx", "A 42248-2020")</f>
        <v/>
      </c>
      <c r="W49">
        <f>HYPERLINK("https://klasma.github.io/Logging_0882/klagomålsmail/A 42248-2020 FSC-klagomål mail.docx", "A 42248-2020")</f>
        <v/>
      </c>
      <c r="X49">
        <f>HYPERLINK("https://klasma.github.io/Logging_0882/tillsyn/A 42248-2020 tillsynsbegäran.docx", "A 42248-2020")</f>
        <v/>
      </c>
      <c r="Y49">
        <f>HYPERLINK("https://klasma.github.io/Logging_0882/tillsynsmail/A 42248-2020 tillsynsbegäran mail.docx", "A 42248-2020")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45884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45884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45884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45884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45884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37327-2024</t>
        </is>
      </c>
      <c r="B55" s="1" t="n">
        <v>45540.50771990741</v>
      </c>
      <c r="C55" s="1" t="n">
        <v>45884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HYPERLINK("https://klasma.github.io/Logging_0882/artfynd/A 37327-2024 artfynd.xlsx", "A 37327-2024")</f>
        <v/>
      </c>
      <c r="T55">
        <f>HYPERLINK("https://klasma.github.io/Logging_0882/kartor/A 37327-2024 karta.png", "A 37327-2024")</f>
        <v/>
      </c>
      <c r="V55">
        <f>HYPERLINK("https://klasma.github.io/Logging_0882/klagomål/A 37327-2024 FSC-klagomål.docx", "A 37327-2024")</f>
        <v/>
      </c>
      <c r="W55">
        <f>HYPERLINK("https://klasma.github.io/Logging_0882/klagomålsmail/A 37327-2024 FSC-klagomål mail.docx", "A 37327-2024")</f>
        <v/>
      </c>
      <c r="X55">
        <f>HYPERLINK("https://klasma.github.io/Logging_0882/tillsyn/A 37327-2024 tillsynsbegäran.docx", "A 37327-2024")</f>
        <v/>
      </c>
      <c r="Y55">
        <f>HYPERLINK("https://klasma.github.io/Logging_0882/tillsynsmail/A 37327-2024 tillsynsbegäran mail.docx", "A 37327-2024")</f>
        <v/>
      </c>
    </row>
    <row r="56" ht="15" customHeight="1">
      <c r="A56" t="inlineStr">
        <is>
          <t>A 42443-2023</t>
        </is>
      </c>
      <c r="B56" s="1" t="n">
        <v>45175</v>
      </c>
      <c r="C56" s="1" t="n">
        <v>45884</v>
      </c>
      <c r="D56" t="inlineStr">
        <is>
          <t>KALMAR LÄN</t>
        </is>
      </c>
      <c r="E56" t="inlineStr">
        <is>
          <t>OSKARSHAMN</t>
        </is>
      </c>
      <c r="G56" t="n">
        <v>11.4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42443-2023 artfynd.xlsx", "A 42443-2023")</f>
        <v/>
      </c>
      <c r="T56">
        <f>HYPERLINK("https://klasma.github.io/Logging_0882/kartor/A 42443-2023 karta.png", "A 42443-2023")</f>
        <v/>
      </c>
      <c r="V56">
        <f>HYPERLINK("https://klasma.github.io/Logging_0882/klagomål/A 42443-2023 FSC-klagomål.docx", "A 42443-2023")</f>
        <v/>
      </c>
      <c r="W56">
        <f>HYPERLINK("https://klasma.github.io/Logging_0882/klagomålsmail/A 42443-2023 FSC-klagomål mail.docx", "A 42443-2023")</f>
        <v/>
      </c>
      <c r="X56">
        <f>HYPERLINK("https://klasma.github.io/Logging_0882/tillsyn/A 42443-2023 tillsynsbegäran.docx", "A 42443-2023")</f>
        <v/>
      </c>
      <c r="Y56">
        <f>HYPERLINK("https://klasma.github.io/Logging_0882/tillsynsmail/A 42443-2023 tillsynsbegäran mail.docx", "A 42443-2023")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45884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31390-2025</t>
        </is>
      </c>
      <c r="B58" s="1" t="n">
        <v>45833.45934027778</v>
      </c>
      <c r="C58" s="1" t="n">
        <v>45884</v>
      </c>
      <c r="D58" t="inlineStr">
        <is>
          <t>KALMAR LÄN</t>
        </is>
      </c>
      <c r="E58" t="inlineStr">
        <is>
          <t>OSKARSHAMN</t>
        </is>
      </c>
      <c r="G58" t="n">
        <v>6.4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31390-2025 artfynd.xlsx", "A 31390-2025")</f>
        <v/>
      </c>
      <c r="T58">
        <f>HYPERLINK("https://klasma.github.io/Logging_0882/kartor/A 31390-2025 karta.png", "A 31390-2025")</f>
        <v/>
      </c>
      <c r="U58">
        <f>HYPERLINK("https://klasma.github.io/Logging_0882/knärot/A 31390-2025 karta knärot.png", "A 31390-2025")</f>
        <v/>
      </c>
      <c r="V58">
        <f>HYPERLINK("https://klasma.github.io/Logging_0882/klagomål/A 31390-2025 FSC-klagomål.docx", "A 31390-2025")</f>
        <v/>
      </c>
      <c r="W58">
        <f>HYPERLINK("https://klasma.github.io/Logging_0882/klagomålsmail/A 31390-2025 FSC-klagomål mail.docx", "A 31390-2025")</f>
        <v/>
      </c>
      <c r="X58">
        <f>HYPERLINK("https://klasma.github.io/Logging_0882/tillsyn/A 31390-2025 tillsynsbegäran.docx", "A 31390-2025")</f>
        <v/>
      </c>
      <c r="Y58">
        <f>HYPERLINK("https://klasma.github.io/Logging_0882/tillsynsmail/A 31390-2025 tillsynsbegäran mail.docx", "A 31390-2025")</f>
        <v/>
      </c>
    </row>
    <row r="59" ht="15" customHeight="1">
      <c r="A59" t="inlineStr">
        <is>
          <t>A 31862-2025</t>
        </is>
      </c>
      <c r="B59" s="1" t="n">
        <v>45834.63185185185</v>
      </c>
      <c r="C59" s="1" t="n">
        <v>45884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HYPERLINK("https://klasma.github.io/Logging_0882/artfynd/A 31862-2025 artfynd.xlsx", "A 31862-2025")</f>
        <v/>
      </c>
      <c r="T59">
        <f>HYPERLINK("https://klasma.github.io/Logging_0882/kartor/A 31862-2025 karta.png", "A 31862-2025")</f>
        <v/>
      </c>
      <c r="V59">
        <f>HYPERLINK("https://klasma.github.io/Logging_0882/klagomål/A 31862-2025 FSC-klagomål.docx", "A 31862-2025")</f>
        <v/>
      </c>
      <c r="W59">
        <f>HYPERLINK("https://klasma.github.io/Logging_0882/klagomålsmail/A 31862-2025 FSC-klagomål mail.docx", "A 31862-2025")</f>
        <v/>
      </c>
      <c r="X59">
        <f>HYPERLINK("https://klasma.github.io/Logging_0882/tillsyn/A 31862-2025 tillsynsbegäran.docx", "A 31862-2025")</f>
        <v/>
      </c>
      <c r="Y59">
        <f>HYPERLINK("https://klasma.github.io/Logging_0882/tillsynsmail/A 31862-2025 tillsynsbegäran mail.docx", "A 31862-2025")</f>
        <v/>
      </c>
      <c r="Z59">
        <f>HYPERLINK("https://klasma.github.io/Logging_0882/fåglar/A 31862-2025 prioriterade fågelarter.docx", "A 31862-2025")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45884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45884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45884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48038-2020</t>
        </is>
      </c>
      <c r="B63" s="1" t="n">
        <v>44099</v>
      </c>
      <c r="C63" s="1" t="n">
        <v>45884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45884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44182-2020</t>
        </is>
      </c>
      <c r="B65" s="1" t="n">
        <v>44083</v>
      </c>
      <c r="C65" s="1" t="n">
        <v>45884</v>
      </c>
      <c r="D65" t="inlineStr">
        <is>
          <t>KALMAR LÄN</t>
        </is>
      </c>
      <c r="E65" t="inlineStr">
        <is>
          <t>OSKARSHAMN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45884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45884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45884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45884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45884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45884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45884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45884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45884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45884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45884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45884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45884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45884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45884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45884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45884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45884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45884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45884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45884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45884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45884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45884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45884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45884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45884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45884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45884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45884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45884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45884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45884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45884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45884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45884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45884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45884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45884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45884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45884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45884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45884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45884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45884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60913-2021</t>
        </is>
      </c>
      <c r="B111" s="1" t="n">
        <v>44497.45600694444</v>
      </c>
      <c r="C111" s="1" t="n">
        <v>45884</v>
      </c>
      <c r="D111" t="inlineStr">
        <is>
          <t>KALMAR LÄN</t>
        </is>
      </c>
      <c r="E111" t="inlineStr">
        <is>
          <t>OSKARSHAMN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21065-2022</t>
        </is>
      </c>
      <c r="B112" s="1" t="n">
        <v>44704</v>
      </c>
      <c r="C112" s="1" t="n">
        <v>45884</v>
      </c>
      <c r="D112" t="inlineStr">
        <is>
          <t>KALMAR LÄN</t>
        </is>
      </c>
      <c r="E112" t="inlineStr">
        <is>
          <t>OSKARSHAMN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21964-2022</t>
        </is>
      </c>
      <c r="B113" s="1" t="n">
        <v>44711.52076388889</v>
      </c>
      <c r="C113" s="1" t="n">
        <v>45884</v>
      </c>
      <c r="D113" t="inlineStr">
        <is>
          <t>KALMAR LÄN</t>
        </is>
      </c>
      <c r="E113" t="inlineStr">
        <is>
          <t>OSKARSHAMN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58395-2021</t>
        </is>
      </c>
      <c r="B114" s="1" t="n">
        <v>44488</v>
      </c>
      <c r="C114" s="1" t="n">
        <v>45884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45884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8475-2021</t>
        </is>
      </c>
      <c r="B116" s="1" t="n">
        <v>44245</v>
      </c>
      <c r="C116" s="1" t="n">
        <v>45884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8553-2021</t>
        </is>
      </c>
      <c r="B117" s="1" t="n">
        <v>44245</v>
      </c>
      <c r="C117" s="1" t="n">
        <v>45884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1556-2022</t>
        </is>
      </c>
      <c r="B118" s="1" t="n">
        <v>44573</v>
      </c>
      <c r="C118" s="1" t="n">
        <v>45884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41151-2020</t>
        </is>
      </c>
      <c r="B119" s="1" t="n">
        <v>44071</v>
      </c>
      <c r="C119" s="1" t="n">
        <v>45884</v>
      </c>
      <c r="D119" t="inlineStr">
        <is>
          <t>KALMAR LÄN</t>
        </is>
      </c>
      <c r="E119" t="inlineStr">
        <is>
          <t>OSKARSHAMN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72394-2021</t>
        </is>
      </c>
      <c r="B120" s="1" t="n">
        <v>44544</v>
      </c>
      <c r="C120" s="1" t="n">
        <v>45884</v>
      </c>
      <c r="D120" t="inlineStr">
        <is>
          <t>KALMAR LÄN</t>
        </is>
      </c>
      <c r="E120" t="inlineStr">
        <is>
          <t>OSKARSHAMN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21916-2022</t>
        </is>
      </c>
      <c r="B121" s="1" t="n">
        <v>44711.46028935185</v>
      </c>
      <c r="C121" s="1" t="n">
        <v>45884</v>
      </c>
      <c r="D121" t="inlineStr">
        <is>
          <t>KALMAR LÄN</t>
        </is>
      </c>
      <c r="E121" t="inlineStr">
        <is>
          <t>OSKARSHAMN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26430-2021</t>
        </is>
      </c>
      <c r="B122" s="1" t="n">
        <v>44348</v>
      </c>
      <c r="C122" s="1" t="n">
        <v>45884</v>
      </c>
      <c r="D122" t="inlineStr">
        <is>
          <t>KALMAR LÄN</t>
        </is>
      </c>
      <c r="E122" t="inlineStr">
        <is>
          <t>OSKARSHAMN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18052-2021</t>
        </is>
      </c>
      <c r="B123" s="1" t="n">
        <v>44302</v>
      </c>
      <c r="C123" s="1" t="n">
        <v>45884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71346-2021</t>
        </is>
      </c>
      <c r="B124" s="1" t="n">
        <v>44539.87791666666</v>
      </c>
      <c r="C124" s="1" t="n">
        <v>45884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55974-2020</t>
        </is>
      </c>
      <c r="B125" s="1" t="n">
        <v>44133</v>
      </c>
      <c r="C125" s="1" t="n">
        <v>45884</v>
      </c>
      <c r="D125" t="inlineStr">
        <is>
          <t>KALMAR LÄN</t>
        </is>
      </c>
      <c r="E125" t="inlineStr">
        <is>
          <t>OSKARSHAMN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35980-2021</t>
        </is>
      </c>
      <c r="B126" s="1" t="n">
        <v>44389.34473379629</v>
      </c>
      <c r="C126" s="1" t="n">
        <v>45884</v>
      </c>
      <c r="D126" t="inlineStr">
        <is>
          <t>KALMAR LÄN</t>
        </is>
      </c>
      <c r="E126" t="inlineStr">
        <is>
          <t>OSKARSHAMN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71339-2021</t>
        </is>
      </c>
      <c r="B127" s="1" t="n">
        <v>44539.86778935185</v>
      </c>
      <c r="C127" s="1" t="n">
        <v>45884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54776-2020</t>
        </is>
      </c>
      <c r="B128" s="1" t="n">
        <v>44127</v>
      </c>
      <c r="C128" s="1" t="n">
        <v>45884</v>
      </c>
      <c r="D128" t="inlineStr">
        <is>
          <t>KALMAR LÄN</t>
        </is>
      </c>
      <c r="E128" t="inlineStr">
        <is>
          <t>OSKARSHAMN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56046-2021</t>
        </is>
      </c>
      <c r="B129" s="1" t="n">
        <v>44477</v>
      </c>
      <c r="C129" s="1" t="n">
        <v>45884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5087-2022</t>
        </is>
      </c>
      <c r="B130" s="1" t="n">
        <v>44593</v>
      </c>
      <c r="C130" s="1" t="n">
        <v>45884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10107-2022</t>
        </is>
      </c>
      <c r="B131" s="1" t="n">
        <v>44621.80555555555</v>
      </c>
      <c r="C131" s="1" t="n">
        <v>45884</v>
      </c>
      <c r="D131" t="inlineStr">
        <is>
          <t>KALMAR LÄN</t>
        </is>
      </c>
      <c r="E131" t="inlineStr">
        <is>
          <t>OSKARSHAMN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68117-2020</t>
        </is>
      </c>
      <c r="B132" s="1" t="n">
        <v>44183.44118055556</v>
      </c>
      <c r="C132" s="1" t="n">
        <v>45884</v>
      </c>
      <c r="D132" t="inlineStr">
        <is>
          <t>KALMAR LÄN</t>
        </is>
      </c>
      <c r="E132" t="inlineStr">
        <is>
          <t>OSKARSHAMN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72736-2021</t>
        </is>
      </c>
      <c r="B133" s="1" t="n">
        <v>44546.80259259259</v>
      </c>
      <c r="C133" s="1" t="n">
        <v>45884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50933-2022</t>
        </is>
      </c>
      <c r="B134" s="1" t="n">
        <v>44865</v>
      </c>
      <c r="C134" s="1" t="n">
        <v>45884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64390-2020</t>
        </is>
      </c>
      <c r="B135" s="1" t="n">
        <v>44168</v>
      </c>
      <c r="C135" s="1" t="n">
        <v>45884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62499-2020</t>
        </is>
      </c>
      <c r="B136" s="1" t="n">
        <v>44160</v>
      </c>
      <c r="C136" s="1" t="n">
        <v>45884</v>
      </c>
      <c r="D136" t="inlineStr">
        <is>
          <t>KALMAR LÄN</t>
        </is>
      </c>
      <c r="E136" t="inlineStr">
        <is>
          <t>OSKARSHAMN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57318-2021</t>
        </is>
      </c>
      <c r="B137" s="1" t="n">
        <v>44483.44872685185</v>
      </c>
      <c r="C137" s="1" t="n">
        <v>45884</v>
      </c>
      <c r="D137" t="inlineStr">
        <is>
          <t>KALMAR LÄN</t>
        </is>
      </c>
      <c r="E137" t="inlineStr">
        <is>
          <t>OSKARSHAMN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5661-2022</t>
        </is>
      </c>
      <c r="B138" s="1" t="n">
        <v>44596.27380787037</v>
      </c>
      <c r="C138" s="1" t="n">
        <v>45884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42594-2021</t>
        </is>
      </c>
      <c r="B139" s="1" t="n">
        <v>44428</v>
      </c>
      <c r="C139" s="1" t="n">
        <v>45884</v>
      </c>
      <c r="D139" t="inlineStr">
        <is>
          <t>KALMAR LÄN</t>
        </is>
      </c>
      <c r="E139" t="inlineStr">
        <is>
          <t>OSKARSHAMN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22282-2022</t>
        </is>
      </c>
      <c r="B140" s="1" t="n">
        <v>44712.65646990741</v>
      </c>
      <c r="C140" s="1" t="n">
        <v>45884</v>
      </c>
      <c r="D140" t="inlineStr">
        <is>
          <t>KALMAR LÄN</t>
        </is>
      </c>
      <c r="E140" t="inlineStr">
        <is>
          <t>OSKARSHAMN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61502-2020</t>
        </is>
      </c>
      <c r="B141" s="1" t="n">
        <v>44158.3725462963</v>
      </c>
      <c r="C141" s="1" t="n">
        <v>45884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64515-2020</t>
        </is>
      </c>
      <c r="B142" s="1" t="n">
        <v>44169</v>
      </c>
      <c r="C142" s="1" t="n">
        <v>45884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18701-2021</t>
        </is>
      </c>
      <c r="B143" s="1" t="n">
        <v>44307.35981481482</v>
      </c>
      <c r="C143" s="1" t="n">
        <v>45884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5085-2022</t>
        </is>
      </c>
      <c r="B144" s="1" t="n">
        <v>44593</v>
      </c>
      <c r="C144" s="1" t="n">
        <v>45884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46968-2021</t>
        </is>
      </c>
      <c r="B145" s="1" t="n">
        <v>44446</v>
      </c>
      <c r="C145" s="1" t="n">
        <v>45884</v>
      </c>
      <c r="D145" t="inlineStr">
        <is>
          <t>KALMAR LÄN</t>
        </is>
      </c>
      <c r="E145" t="inlineStr">
        <is>
          <t>OSKARSHAMN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56304-2020</t>
        </is>
      </c>
      <c r="B146" s="1" t="n">
        <v>44134</v>
      </c>
      <c r="C146" s="1" t="n">
        <v>45884</v>
      </c>
      <c r="D146" t="inlineStr">
        <is>
          <t>KALMAR LÄN</t>
        </is>
      </c>
      <c r="E146" t="inlineStr">
        <is>
          <t>OSKARSHAMN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52611-2020</t>
        </is>
      </c>
      <c r="B147" s="1" t="n">
        <v>44118</v>
      </c>
      <c r="C147" s="1" t="n">
        <v>45884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58073-2020</t>
        </is>
      </c>
      <c r="B148" s="1" t="n">
        <v>44144</v>
      </c>
      <c r="C148" s="1" t="n">
        <v>45884</v>
      </c>
      <c r="D148" t="inlineStr">
        <is>
          <t>KALMAR LÄN</t>
        </is>
      </c>
      <c r="E148" t="inlineStr">
        <is>
          <t>OSKARSHAMN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18278-2022</t>
        </is>
      </c>
      <c r="B149" s="1" t="n">
        <v>44685.48917824074</v>
      </c>
      <c r="C149" s="1" t="n">
        <v>45884</v>
      </c>
      <c r="D149" t="inlineStr">
        <is>
          <t>KALMAR LÄN</t>
        </is>
      </c>
      <c r="E149" t="inlineStr">
        <is>
          <t>OSKARSHAMN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30966-2022</t>
        </is>
      </c>
      <c r="B150" s="1" t="n">
        <v>44768.45408564815</v>
      </c>
      <c r="C150" s="1" t="n">
        <v>45884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18908-2021</t>
        </is>
      </c>
      <c r="B151" s="1" t="n">
        <v>44308.37342592593</v>
      </c>
      <c r="C151" s="1" t="n">
        <v>45884</v>
      </c>
      <c r="D151" t="inlineStr">
        <is>
          <t>KALMAR LÄN</t>
        </is>
      </c>
      <c r="E151" t="inlineStr">
        <is>
          <t>OSKARSHAMN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37595-2021</t>
        </is>
      </c>
      <c r="B152" s="1" t="n">
        <v>44399</v>
      </c>
      <c r="C152" s="1" t="n">
        <v>45884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5854-2022</t>
        </is>
      </c>
      <c r="B153" s="1" t="n">
        <v>44596</v>
      </c>
      <c r="C153" s="1" t="n">
        <v>45884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50536-2022</t>
        </is>
      </c>
      <c r="B154" s="1" t="n">
        <v>44866.59038194444</v>
      </c>
      <c r="C154" s="1" t="n">
        <v>45884</v>
      </c>
      <c r="D154" t="inlineStr">
        <is>
          <t>KALMAR LÄN</t>
        </is>
      </c>
      <c r="E154" t="inlineStr">
        <is>
          <t>OSKARSHAMN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15925-2023</t>
        </is>
      </c>
      <c r="B155" s="1" t="n">
        <v>45022</v>
      </c>
      <c r="C155" s="1" t="n">
        <v>45884</v>
      </c>
      <c r="D155" t="inlineStr">
        <is>
          <t>KALMAR LÄN</t>
        </is>
      </c>
      <c r="E155" t="inlineStr">
        <is>
          <t>OSKARSHAMN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68625-2020</t>
        </is>
      </c>
      <c r="B156" s="1" t="n">
        <v>44186</v>
      </c>
      <c r="C156" s="1" t="n">
        <v>45884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59389-2023</t>
        </is>
      </c>
      <c r="B157" s="1" t="n">
        <v>45253.87519675926</v>
      </c>
      <c r="C157" s="1" t="n">
        <v>45884</v>
      </c>
      <c r="D157" t="inlineStr">
        <is>
          <t>KALMAR LÄN</t>
        </is>
      </c>
      <c r="E157" t="inlineStr">
        <is>
          <t>OSKARSHAMN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19790-2024</t>
        </is>
      </c>
      <c r="B158" s="1" t="n">
        <v>45432.8953587963</v>
      </c>
      <c r="C158" s="1" t="n">
        <v>45884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48977-2020</t>
        </is>
      </c>
      <c r="B159" s="1" t="n">
        <v>44104</v>
      </c>
      <c r="C159" s="1" t="n">
        <v>45884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22543-2022</t>
        </is>
      </c>
      <c r="B160" s="1" t="n">
        <v>44713</v>
      </c>
      <c r="C160" s="1" t="n">
        <v>45884</v>
      </c>
      <c r="D160" t="inlineStr">
        <is>
          <t>KALMAR LÄN</t>
        </is>
      </c>
      <c r="E160" t="inlineStr">
        <is>
          <t>OSKARSHAMN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62991-2020</t>
        </is>
      </c>
      <c r="B161" s="1" t="n">
        <v>44162</v>
      </c>
      <c r="C161" s="1" t="n">
        <v>45884</v>
      </c>
      <c r="D161" t="inlineStr">
        <is>
          <t>KALMAR LÄN</t>
        </is>
      </c>
      <c r="E161" t="inlineStr">
        <is>
          <t>OSKARSHAMN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3947-2021</t>
        </is>
      </c>
      <c r="B162" s="1" t="n">
        <v>44222</v>
      </c>
      <c r="C162" s="1" t="n">
        <v>45884</v>
      </c>
      <c r="D162" t="inlineStr">
        <is>
          <t>KALMAR LÄN</t>
        </is>
      </c>
      <c r="E162" t="inlineStr">
        <is>
          <t>OSKARSHAMN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5103-2025</t>
        </is>
      </c>
      <c r="B163" s="1" t="n">
        <v>45691.5424537037</v>
      </c>
      <c r="C163" s="1" t="n">
        <v>45884</v>
      </c>
      <c r="D163" t="inlineStr">
        <is>
          <t>KALMAR LÄN</t>
        </is>
      </c>
      <c r="E163" t="inlineStr">
        <is>
          <t>OSKARSHAMN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43472-2020</t>
        </is>
      </c>
      <c r="B164" s="1" t="n">
        <v>44082</v>
      </c>
      <c r="C164" s="1" t="n">
        <v>45884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61676-2022</t>
        </is>
      </c>
      <c r="B165" s="1" t="n">
        <v>44917.35297453704</v>
      </c>
      <c r="C165" s="1" t="n">
        <v>45884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22539-2022</t>
        </is>
      </c>
      <c r="B166" s="1" t="n">
        <v>44713</v>
      </c>
      <c r="C166" s="1" t="n">
        <v>45884</v>
      </c>
      <c r="D166" t="inlineStr">
        <is>
          <t>KALMAR LÄN</t>
        </is>
      </c>
      <c r="E166" t="inlineStr">
        <is>
          <t>OSKARSHAMN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26132-2023</t>
        </is>
      </c>
      <c r="B167" s="1" t="n">
        <v>45091</v>
      </c>
      <c r="C167" s="1" t="n">
        <v>45884</v>
      </c>
      <c r="D167" t="inlineStr">
        <is>
          <t>KALMAR LÄN</t>
        </is>
      </c>
      <c r="E167" t="inlineStr">
        <is>
          <t>OSKARSHAMN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22278-2022</t>
        </is>
      </c>
      <c r="B168" s="1" t="n">
        <v>44712.65084490741</v>
      </c>
      <c r="C168" s="1" t="n">
        <v>45884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65314-2021</t>
        </is>
      </c>
      <c r="B169" s="1" t="n">
        <v>44515.62549768519</v>
      </c>
      <c r="C169" s="1" t="n">
        <v>45884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45493-2021</t>
        </is>
      </c>
      <c r="B170" s="1" t="n">
        <v>44440</v>
      </c>
      <c r="C170" s="1" t="n">
        <v>45884</v>
      </c>
      <c r="D170" t="inlineStr">
        <is>
          <t>KALMAR LÄN</t>
        </is>
      </c>
      <c r="E170" t="inlineStr">
        <is>
          <t>OSKARSHAMN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51568-2020</t>
        </is>
      </c>
      <c r="B171" s="1" t="n">
        <v>44109</v>
      </c>
      <c r="C171" s="1" t="n">
        <v>45884</v>
      </c>
      <c r="D171" t="inlineStr">
        <is>
          <t>KALMAR LÄN</t>
        </is>
      </c>
      <c r="E171" t="inlineStr">
        <is>
          <t>OSKARSHAMN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7176-2025</t>
        </is>
      </c>
      <c r="B172" s="1" t="n">
        <v>45702.42196759259</v>
      </c>
      <c r="C172" s="1" t="n">
        <v>45884</v>
      </c>
      <c r="D172" t="inlineStr">
        <is>
          <t>KALMAR LÄN</t>
        </is>
      </c>
      <c r="E172" t="inlineStr">
        <is>
          <t>OSKARSHAMN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9424-2021</t>
        </is>
      </c>
      <c r="B173" s="1" t="n">
        <v>44251</v>
      </c>
      <c r="C173" s="1" t="n">
        <v>45884</v>
      </c>
      <c r="D173" t="inlineStr">
        <is>
          <t>KALMAR LÄN</t>
        </is>
      </c>
      <c r="E173" t="inlineStr">
        <is>
          <t>OSKARSHAMN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29932-2022</t>
        </is>
      </c>
      <c r="B174" s="1" t="n">
        <v>44756.58146990741</v>
      </c>
      <c r="C174" s="1" t="n">
        <v>45884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29941-2022</t>
        </is>
      </c>
      <c r="B175" s="1" t="n">
        <v>44756.60337962963</v>
      </c>
      <c r="C175" s="1" t="n">
        <v>45884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34238-2022</t>
        </is>
      </c>
      <c r="B176" s="1" t="n">
        <v>44791</v>
      </c>
      <c r="C176" s="1" t="n">
        <v>45884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33606-2022</t>
        </is>
      </c>
      <c r="B177" s="1" t="n">
        <v>44789</v>
      </c>
      <c r="C177" s="1" t="n">
        <v>45884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18631-2025</t>
        </is>
      </c>
      <c r="B178" s="1" t="n">
        <v>45763.53839120371</v>
      </c>
      <c r="C178" s="1" t="n">
        <v>45884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6892-2025</t>
        </is>
      </c>
      <c r="B179" s="1" t="n">
        <v>45701.37699074074</v>
      </c>
      <c r="C179" s="1" t="n">
        <v>45884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39633-2022</t>
        </is>
      </c>
      <c r="B180" s="1" t="n">
        <v>44818</v>
      </c>
      <c r="C180" s="1" t="n">
        <v>45884</v>
      </c>
      <c r="D180" t="inlineStr">
        <is>
          <t>KALMAR LÄN</t>
        </is>
      </c>
      <c r="E180" t="inlineStr">
        <is>
          <t>OSKARSHAMN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39677-2022</t>
        </is>
      </c>
      <c r="B181" s="1" t="n">
        <v>44818</v>
      </c>
      <c r="C181" s="1" t="n">
        <v>45884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10800-2022</t>
        </is>
      </c>
      <c r="B182" s="1" t="n">
        <v>44627</v>
      </c>
      <c r="C182" s="1" t="n">
        <v>45884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5845-2023</t>
        </is>
      </c>
      <c r="B183" s="1" t="n">
        <v>44963</v>
      </c>
      <c r="C183" s="1" t="n">
        <v>45884</v>
      </c>
      <c r="D183" t="inlineStr">
        <is>
          <t>KALMAR LÄN</t>
        </is>
      </c>
      <c r="E183" t="inlineStr">
        <is>
          <t>OSKARSHAMN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15222-2023</t>
        </is>
      </c>
      <c r="B184" s="1" t="n">
        <v>45019</v>
      </c>
      <c r="C184" s="1" t="n">
        <v>45884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58095-2022</t>
        </is>
      </c>
      <c r="B185" s="1" t="n">
        <v>44900</v>
      </c>
      <c r="C185" s="1" t="n">
        <v>45884</v>
      </c>
      <c r="D185" t="inlineStr">
        <is>
          <t>KALMAR LÄN</t>
        </is>
      </c>
      <c r="E185" t="inlineStr">
        <is>
          <t>OSKARSHAMN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52212-2023</t>
        </is>
      </c>
      <c r="B186" s="1" t="n">
        <v>45224.44408564815</v>
      </c>
      <c r="C186" s="1" t="n">
        <v>45884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29283-2024</t>
        </is>
      </c>
      <c r="B187" s="1" t="n">
        <v>45482.97067129629</v>
      </c>
      <c r="C187" s="1" t="n">
        <v>45884</v>
      </c>
      <c r="D187" t="inlineStr">
        <is>
          <t>KALMAR LÄN</t>
        </is>
      </c>
      <c r="E187" t="inlineStr">
        <is>
          <t>OSKARSHAMN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6670-2024</t>
        </is>
      </c>
      <c r="B188" s="1" t="n">
        <v>45341.80892361111</v>
      </c>
      <c r="C188" s="1" t="n">
        <v>45884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46603-2023</t>
        </is>
      </c>
      <c r="B189" s="1" t="n">
        <v>45198</v>
      </c>
      <c r="C189" s="1" t="n">
        <v>45884</v>
      </c>
      <c r="D189" t="inlineStr">
        <is>
          <t>KALMAR LÄN</t>
        </is>
      </c>
      <c r="E189" t="inlineStr">
        <is>
          <t>OSKARSHAMN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16811-2025</t>
        </is>
      </c>
      <c r="B190" s="1" t="n">
        <v>45754.63101851852</v>
      </c>
      <c r="C190" s="1" t="n">
        <v>45884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16817-2025</t>
        </is>
      </c>
      <c r="B191" s="1" t="n">
        <v>45754.63701388889</v>
      </c>
      <c r="C191" s="1" t="n">
        <v>45884</v>
      </c>
      <c r="D191" t="inlineStr">
        <is>
          <t>KALMAR LÄN</t>
        </is>
      </c>
      <c r="E191" t="inlineStr">
        <is>
          <t>OSKARSHAMN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6287-2023</t>
        </is>
      </c>
      <c r="B192" s="1" t="n">
        <v>44965</v>
      </c>
      <c r="C192" s="1" t="n">
        <v>45884</v>
      </c>
      <c r="D192" t="inlineStr">
        <is>
          <t>KALMAR LÄN</t>
        </is>
      </c>
      <c r="E192" t="inlineStr">
        <is>
          <t>OSKARSHAMN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62623-2021</t>
        </is>
      </c>
      <c r="B193" s="1" t="n">
        <v>44503.73760416666</v>
      </c>
      <c r="C193" s="1" t="n">
        <v>45884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14876-2022</t>
        </is>
      </c>
      <c r="B194" s="1" t="n">
        <v>44656.73034722222</v>
      </c>
      <c r="C194" s="1" t="n">
        <v>45884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30000-2022</t>
        </is>
      </c>
      <c r="B195" s="1" t="n">
        <v>44756.89907407408</v>
      </c>
      <c r="C195" s="1" t="n">
        <v>45884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8711-2023</t>
        </is>
      </c>
      <c r="B196" s="1" t="n">
        <v>44978.39695601852</v>
      </c>
      <c r="C196" s="1" t="n">
        <v>45884</v>
      </c>
      <c r="D196" t="inlineStr">
        <is>
          <t>KALMAR LÄN</t>
        </is>
      </c>
      <c r="E196" t="inlineStr">
        <is>
          <t>OSKARSHAMN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212-2024</t>
        </is>
      </c>
      <c r="B197" s="1" t="n">
        <v>45294.67804398148</v>
      </c>
      <c r="C197" s="1" t="n">
        <v>45884</v>
      </c>
      <c r="D197" t="inlineStr">
        <is>
          <t>KALMAR LÄN</t>
        </is>
      </c>
      <c r="E197" t="inlineStr">
        <is>
          <t>OSKARSHAMN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71342-2021</t>
        </is>
      </c>
      <c r="B198" s="1" t="n">
        <v>44539.87341435185</v>
      </c>
      <c r="C198" s="1" t="n">
        <v>45884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47953-2023</t>
        </is>
      </c>
      <c r="B199" s="1" t="n">
        <v>45204.579375</v>
      </c>
      <c r="C199" s="1" t="n">
        <v>45884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9465-2025</t>
        </is>
      </c>
      <c r="B200" s="1" t="n">
        <v>45715.46703703704</v>
      </c>
      <c r="C200" s="1" t="n">
        <v>45884</v>
      </c>
      <c r="D200" t="inlineStr">
        <is>
          <t>KALMAR LÄN</t>
        </is>
      </c>
      <c r="E200" t="inlineStr">
        <is>
          <t>OSKARSHAMN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59697-2023</t>
        </is>
      </c>
      <c r="B201" s="1" t="n">
        <v>45256.86208333333</v>
      </c>
      <c r="C201" s="1" t="n">
        <v>45884</v>
      </c>
      <c r="D201" t="inlineStr">
        <is>
          <t>KALMAR LÄN</t>
        </is>
      </c>
      <c r="E201" t="inlineStr">
        <is>
          <t>OSKARSHAMN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21921-2022</t>
        </is>
      </c>
      <c r="B202" s="1" t="n">
        <v>44711</v>
      </c>
      <c r="C202" s="1" t="n">
        <v>45884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38862-2023</t>
        </is>
      </c>
      <c r="B203" s="1" t="n">
        <v>45163.50626157408</v>
      </c>
      <c r="C203" s="1" t="n">
        <v>45884</v>
      </c>
      <c r="D203" t="inlineStr">
        <is>
          <t>KALMAR LÄN</t>
        </is>
      </c>
      <c r="E203" t="inlineStr">
        <is>
          <t>OSKARSHAMN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16677-2024</t>
        </is>
      </c>
      <c r="B204" s="1" t="n">
        <v>45408.68166666666</v>
      </c>
      <c r="C204" s="1" t="n">
        <v>45884</v>
      </c>
      <c r="D204" t="inlineStr">
        <is>
          <t>KALMAR LÄN</t>
        </is>
      </c>
      <c r="E204" t="inlineStr">
        <is>
          <t>OSKARSHAMN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49841-2023</t>
        </is>
      </c>
      <c r="B205" s="1" t="n">
        <v>45212.75959490741</v>
      </c>
      <c r="C205" s="1" t="n">
        <v>45884</v>
      </c>
      <c r="D205" t="inlineStr">
        <is>
          <t>KALMAR LÄN</t>
        </is>
      </c>
      <c r="E205" t="inlineStr">
        <is>
          <t>OSKARSHAMN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7962-2022</t>
        </is>
      </c>
      <c r="B206" s="1" t="n">
        <v>44608</v>
      </c>
      <c r="C206" s="1" t="n">
        <v>45884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35584-2023</t>
        </is>
      </c>
      <c r="B207" s="1" t="n">
        <v>45147</v>
      </c>
      <c r="C207" s="1" t="n">
        <v>45884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10630-2022</t>
        </is>
      </c>
      <c r="B208" s="1" t="n">
        <v>44624.49346064815</v>
      </c>
      <c r="C208" s="1" t="n">
        <v>45884</v>
      </c>
      <c r="D208" t="inlineStr">
        <is>
          <t>KALMAR LÄN</t>
        </is>
      </c>
      <c r="E208" t="inlineStr">
        <is>
          <t>OSKARSHAMN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35531-2024</t>
        </is>
      </c>
      <c r="B209" s="1" t="n">
        <v>45531</v>
      </c>
      <c r="C209" s="1" t="n">
        <v>45884</v>
      </c>
      <c r="D209" t="inlineStr">
        <is>
          <t>KALMAR LÄN</t>
        </is>
      </c>
      <c r="E209" t="inlineStr">
        <is>
          <t>OSKARSHAMN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61028-2024</t>
        </is>
      </c>
      <c r="B210" s="1" t="n">
        <v>45645.45909722222</v>
      </c>
      <c r="C210" s="1" t="n">
        <v>45884</v>
      </c>
      <c r="D210" t="inlineStr">
        <is>
          <t>KALMAR LÄN</t>
        </is>
      </c>
      <c r="E210" t="inlineStr">
        <is>
          <t>OSKARSHAMN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48500-2023</t>
        </is>
      </c>
      <c r="B211" s="1" t="n">
        <v>45207</v>
      </c>
      <c r="C211" s="1" t="n">
        <v>45884</v>
      </c>
      <c r="D211" t="inlineStr">
        <is>
          <t>KALMAR LÄN</t>
        </is>
      </c>
      <c r="E211" t="inlineStr">
        <is>
          <t>OSKARSHAMN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45883-2024</t>
        </is>
      </c>
      <c r="B212" s="1" t="n">
        <v>45580.40394675926</v>
      </c>
      <c r="C212" s="1" t="n">
        <v>45884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45900-2024</t>
        </is>
      </c>
      <c r="B213" s="1" t="n">
        <v>45580.43162037037</v>
      </c>
      <c r="C213" s="1" t="n">
        <v>45884</v>
      </c>
      <c r="D213" t="inlineStr">
        <is>
          <t>KALMAR LÄN</t>
        </is>
      </c>
      <c r="E213" t="inlineStr">
        <is>
          <t>OSKARSHAMN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2778-2024</t>
        </is>
      </c>
      <c r="B214" s="1" t="n">
        <v>45314.62943287037</v>
      </c>
      <c r="C214" s="1" t="n">
        <v>45884</v>
      </c>
      <c r="D214" t="inlineStr">
        <is>
          <t>KALMAR LÄN</t>
        </is>
      </c>
      <c r="E214" t="inlineStr">
        <is>
          <t>OSKARSHAMN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12849-2024</t>
        </is>
      </c>
      <c r="B215" s="1" t="n">
        <v>45384.88273148148</v>
      </c>
      <c r="C215" s="1" t="n">
        <v>45884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12850-2024</t>
        </is>
      </c>
      <c r="B216" s="1" t="n">
        <v>45384.88486111111</v>
      </c>
      <c r="C216" s="1" t="n">
        <v>45884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52727-2024</t>
        </is>
      </c>
      <c r="B217" s="1" t="n">
        <v>45610.44954861111</v>
      </c>
      <c r="C217" s="1" t="n">
        <v>45884</v>
      </c>
      <c r="D217" t="inlineStr">
        <is>
          <t>KALMAR LÄN</t>
        </is>
      </c>
      <c r="E217" t="inlineStr">
        <is>
          <t>OSKARSHAMN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59699-2023</t>
        </is>
      </c>
      <c r="B218" s="1" t="n">
        <v>45256.87429398148</v>
      </c>
      <c r="C218" s="1" t="n">
        <v>45884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13073-2024</t>
        </is>
      </c>
      <c r="B219" s="1" t="n">
        <v>45385.65364583334</v>
      </c>
      <c r="C219" s="1" t="n">
        <v>45884</v>
      </c>
      <c r="D219" t="inlineStr">
        <is>
          <t>KALMAR LÄN</t>
        </is>
      </c>
      <c r="E219" t="inlineStr">
        <is>
          <t>OSKARSHAMN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62321-2023</t>
        </is>
      </c>
      <c r="B220" s="1" t="n">
        <v>45267.81273148148</v>
      </c>
      <c r="C220" s="1" t="n">
        <v>45884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62326-2023</t>
        </is>
      </c>
      <c r="B221" s="1" t="n">
        <v>45267.8203125</v>
      </c>
      <c r="C221" s="1" t="n">
        <v>45884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62328-2023</t>
        </is>
      </c>
      <c r="B222" s="1" t="n">
        <v>45267</v>
      </c>
      <c r="C222" s="1" t="n">
        <v>45884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62329-2023</t>
        </is>
      </c>
      <c r="B223" s="1" t="n">
        <v>45267</v>
      </c>
      <c r="C223" s="1" t="n">
        <v>45884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37894-2021</t>
        </is>
      </c>
      <c r="B224" s="1" t="n">
        <v>44403</v>
      </c>
      <c r="C224" s="1" t="n">
        <v>45884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45841-2023</t>
        </is>
      </c>
      <c r="B225" s="1" t="n">
        <v>45195</v>
      </c>
      <c r="C225" s="1" t="n">
        <v>45884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11656-2023</t>
        </is>
      </c>
      <c r="B226" s="1" t="n">
        <v>44994.46226851852</v>
      </c>
      <c r="C226" s="1" t="n">
        <v>45884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22878-2024</t>
        </is>
      </c>
      <c r="B227" s="1" t="n">
        <v>45448</v>
      </c>
      <c r="C227" s="1" t="n">
        <v>45884</v>
      </c>
      <c r="D227" t="inlineStr">
        <is>
          <t>KALMAR LÄN</t>
        </is>
      </c>
      <c r="E227" t="inlineStr">
        <is>
          <t>OSKARSHAMN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22880-2024</t>
        </is>
      </c>
      <c r="B228" s="1" t="n">
        <v>45448</v>
      </c>
      <c r="C228" s="1" t="n">
        <v>45884</v>
      </c>
      <c r="D228" t="inlineStr">
        <is>
          <t>KALMAR LÄN</t>
        </is>
      </c>
      <c r="E228" t="inlineStr">
        <is>
          <t>OSKARSHAMN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9919-2022</t>
        </is>
      </c>
      <c r="B229" s="1" t="n">
        <v>44620.87751157407</v>
      </c>
      <c r="C229" s="1" t="n">
        <v>45884</v>
      </c>
      <c r="D229" t="inlineStr">
        <is>
          <t>KALMAR LÄN</t>
        </is>
      </c>
      <c r="E229" t="inlineStr">
        <is>
          <t>OSKARSHAMN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16761-2024</t>
        </is>
      </c>
      <c r="B230" s="1" t="n">
        <v>45411.36979166666</v>
      </c>
      <c r="C230" s="1" t="n">
        <v>45884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16673-2024</t>
        </is>
      </c>
      <c r="B231" s="1" t="n">
        <v>45408.6706712963</v>
      </c>
      <c r="C231" s="1" t="n">
        <v>45884</v>
      </c>
      <c r="D231" t="inlineStr">
        <is>
          <t>KALMAR LÄN</t>
        </is>
      </c>
      <c r="E231" t="inlineStr">
        <is>
          <t>OSKARSHAMN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51383-2021</t>
        </is>
      </c>
      <c r="B232" s="1" t="n">
        <v>44461</v>
      </c>
      <c r="C232" s="1" t="n">
        <v>45884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35566-2023</t>
        </is>
      </c>
      <c r="B233" s="1" t="n">
        <v>45147</v>
      </c>
      <c r="C233" s="1" t="n">
        <v>45884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43173-2024</t>
        </is>
      </c>
      <c r="B234" s="1" t="n">
        <v>45567.66055555556</v>
      </c>
      <c r="C234" s="1" t="n">
        <v>45884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15875-2022</t>
        </is>
      </c>
      <c r="B235" s="1" t="n">
        <v>44664</v>
      </c>
      <c r="C235" s="1" t="n">
        <v>45884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47934-2023</t>
        </is>
      </c>
      <c r="B236" s="1" t="n">
        <v>45204.55690972223</v>
      </c>
      <c r="C236" s="1" t="n">
        <v>45884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11926-2025</t>
        </is>
      </c>
      <c r="B237" s="1" t="n">
        <v>45728.50771990741</v>
      </c>
      <c r="C237" s="1" t="n">
        <v>45884</v>
      </c>
      <c r="D237" t="inlineStr">
        <is>
          <t>KALMAR LÄN</t>
        </is>
      </c>
      <c r="E237" t="inlineStr">
        <is>
          <t>OSKARSHAMN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12556-2024</t>
        </is>
      </c>
      <c r="B238" s="1" t="n">
        <v>45379.66810185185</v>
      </c>
      <c r="C238" s="1" t="n">
        <v>45884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27684-2022</t>
        </is>
      </c>
      <c r="B239" s="1" t="n">
        <v>44743</v>
      </c>
      <c r="C239" s="1" t="n">
        <v>45884</v>
      </c>
      <c r="D239" t="inlineStr">
        <is>
          <t>KALMAR LÄN</t>
        </is>
      </c>
      <c r="E239" t="inlineStr">
        <is>
          <t>OSKARSHAMN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10801-2025</t>
        </is>
      </c>
      <c r="B240" s="1" t="n">
        <v>45722.51685185185</v>
      </c>
      <c r="C240" s="1" t="n">
        <v>45884</v>
      </c>
      <c r="D240" t="inlineStr">
        <is>
          <t>KALMAR LÄN</t>
        </is>
      </c>
      <c r="E240" t="inlineStr">
        <is>
          <t>OSKARSHAMN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10802-2025</t>
        </is>
      </c>
      <c r="B241" s="1" t="n">
        <v>45722.52127314815</v>
      </c>
      <c r="C241" s="1" t="n">
        <v>45884</v>
      </c>
      <c r="D241" t="inlineStr">
        <is>
          <t>KALMAR LÄN</t>
        </is>
      </c>
      <c r="E241" t="inlineStr">
        <is>
          <t>OSKARSHAMN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7882-2023</t>
        </is>
      </c>
      <c r="B242" s="1" t="n">
        <v>44973</v>
      </c>
      <c r="C242" s="1" t="n">
        <v>45884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15754-2022</t>
        </is>
      </c>
      <c r="B243" s="1" t="n">
        <v>44663</v>
      </c>
      <c r="C243" s="1" t="n">
        <v>45884</v>
      </c>
      <c r="D243" t="inlineStr">
        <is>
          <t>KALMAR LÄN</t>
        </is>
      </c>
      <c r="E243" t="inlineStr">
        <is>
          <t>OSKARSHAMN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9350-2025</t>
        </is>
      </c>
      <c r="B244" s="1" t="n">
        <v>45714.85896990741</v>
      </c>
      <c r="C244" s="1" t="n">
        <v>45884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10099-2024</t>
        </is>
      </c>
      <c r="B245" s="1" t="n">
        <v>45364.50273148148</v>
      </c>
      <c r="C245" s="1" t="n">
        <v>45884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29609-2022</t>
        </is>
      </c>
      <c r="B246" s="1" t="n">
        <v>44754</v>
      </c>
      <c r="C246" s="1" t="n">
        <v>45884</v>
      </c>
      <c r="D246" t="inlineStr">
        <is>
          <t>KALMAR LÄN</t>
        </is>
      </c>
      <c r="E246" t="inlineStr">
        <is>
          <t>OSKARSHAMN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51993-2023</t>
        </is>
      </c>
      <c r="B247" s="1" t="n">
        <v>45223.58754629629</v>
      </c>
      <c r="C247" s="1" t="n">
        <v>45884</v>
      </c>
      <c r="D247" t="inlineStr">
        <is>
          <t>KALMAR LÄN</t>
        </is>
      </c>
      <c r="E247" t="inlineStr">
        <is>
          <t>OSKARSHAMN</t>
        </is>
      </c>
      <c r="G247" t="n">
        <v>15.3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41536-2024</t>
        </is>
      </c>
      <c r="B248" s="1" t="n">
        <v>45560.49635416667</v>
      </c>
      <c r="C248" s="1" t="n">
        <v>45884</v>
      </c>
      <c r="D248" t="inlineStr">
        <is>
          <t>KALMAR LÄN</t>
        </is>
      </c>
      <c r="E248" t="inlineStr">
        <is>
          <t>OSKARSHAMN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19795-2023</t>
        </is>
      </c>
      <c r="B249" s="1" t="n">
        <v>45051.67450231482</v>
      </c>
      <c r="C249" s="1" t="n">
        <v>45884</v>
      </c>
      <c r="D249" t="inlineStr">
        <is>
          <t>KALMAR LÄN</t>
        </is>
      </c>
      <c r="E249" t="inlineStr">
        <is>
          <t>OSKARSHAMN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13525-2025</t>
        </is>
      </c>
      <c r="B250" s="1" t="n">
        <v>45736.49748842593</v>
      </c>
      <c r="C250" s="1" t="n">
        <v>45884</v>
      </c>
      <c r="D250" t="inlineStr">
        <is>
          <t>KALMAR LÄN</t>
        </is>
      </c>
      <c r="E250" t="inlineStr">
        <is>
          <t>OSKARSHAMN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4074-2024</t>
        </is>
      </c>
      <c r="B251" s="1" t="n">
        <v>45323</v>
      </c>
      <c r="C251" s="1" t="n">
        <v>45884</v>
      </c>
      <c r="D251" t="inlineStr">
        <is>
          <t>KALMAR LÄN</t>
        </is>
      </c>
      <c r="E251" t="inlineStr">
        <is>
          <t>OSKARSHAMN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30106-2023</t>
        </is>
      </c>
      <c r="B252" s="1" t="n">
        <v>45110</v>
      </c>
      <c r="C252" s="1" t="n">
        <v>45884</v>
      </c>
      <c r="D252" t="inlineStr">
        <is>
          <t>KALMAR LÄN</t>
        </is>
      </c>
      <c r="E252" t="inlineStr">
        <is>
          <t>OSKARSHAMN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30109-2023</t>
        </is>
      </c>
      <c r="B253" s="1" t="n">
        <v>45110.47371527777</v>
      </c>
      <c r="C253" s="1" t="n">
        <v>45884</v>
      </c>
      <c r="D253" t="inlineStr">
        <is>
          <t>KALMAR LÄN</t>
        </is>
      </c>
      <c r="E253" t="inlineStr">
        <is>
          <t>OSKARSHAMN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5145-2024</t>
        </is>
      </c>
      <c r="B254" s="1" t="n">
        <v>45330</v>
      </c>
      <c r="C254" s="1" t="n">
        <v>45884</v>
      </c>
      <c r="D254" t="inlineStr">
        <is>
          <t>KALMAR LÄN</t>
        </is>
      </c>
      <c r="E254" t="inlineStr">
        <is>
          <t>OSKARSHAMN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18576-2023</t>
        </is>
      </c>
      <c r="B255" s="1" t="n">
        <v>45043.35755787037</v>
      </c>
      <c r="C255" s="1" t="n">
        <v>45884</v>
      </c>
      <c r="D255" t="inlineStr">
        <is>
          <t>KALMAR LÄN</t>
        </is>
      </c>
      <c r="E255" t="inlineStr">
        <is>
          <t>OSKARSHAMN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16613-2025</t>
        </is>
      </c>
      <c r="B256" s="1" t="n">
        <v>45754.24792824074</v>
      </c>
      <c r="C256" s="1" t="n">
        <v>45884</v>
      </c>
      <c r="D256" t="inlineStr">
        <is>
          <t>KALMAR LÄN</t>
        </is>
      </c>
      <c r="E256" t="inlineStr">
        <is>
          <t>OSKARSHAMN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53309-2024</t>
        </is>
      </c>
      <c r="B257" s="1" t="n">
        <v>45614.3915625</v>
      </c>
      <c r="C257" s="1" t="n">
        <v>45884</v>
      </c>
      <c r="D257" t="inlineStr">
        <is>
          <t>KALMAR LÄN</t>
        </is>
      </c>
      <c r="E257" t="inlineStr">
        <is>
          <t>OSKARSHAMN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39629-2022</t>
        </is>
      </c>
      <c r="B258" s="1" t="n">
        <v>44818</v>
      </c>
      <c r="C258" s="1" t="n">
        <v>45884</v>
      </c>
      <c r="D258" t="inlineStr">
        <is>
          <t>KALMAR LÄN</t>
        </is>
      </c>
      <c r="E258" t="inlineStr">
        <is>
          <t>OSKARSHAMN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15932-2023</t>
        </is>
      </c>
      <c r="B259" s="1" t="n">
        <v>45022.55422453704</v>
      </c>
      <c r="C259" s="1" t="n">
        <v>45884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30215-2023</t>
        </is>
      </c>
      <c r="B260" s="1" t="n">
        <v>45110</v>
      </c>
      <c r="C260" s="1" t="n">
        <v>45884</v>
      </c>
      <c r="D260" t="inlineStr">
        <is>
          <t>KALMAR LÄN</t>
        </is>
      </c>
      <c r="E260" t="inlineStr">
        <is>
          <t>OSKARSHAMN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9385-2024</t>
        </is>
      </c>
      <c r="B261" s="1" t="n">
        <v>45359.3833912037</v>
      </c>
      <c r="C261" s="1" t="n">
        <v>45884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39937-2023</t>
        </is>
      </c>
      <c r="B262" s="1" t="n">
        <v>45168</v>
      </c>
      <c r="C262" s="1" t="n">
        <v>45884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54635-2024</t>
        </is>
      </c>
      <c r="B263" s="1" t="n">
        <v>45617.87493055555</v>
      </c>
      <c r="C263" s="1" t="n">
        <v>45884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55985-2023</t>
        </is>
      </c>
      <c r="B264" s="1" t="n">
        <v>45240.37828703703</v>
      </c>
      <c r="C264" s="1" t="n">
        <v>45884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5106-2025</t>
        </is>
      </c>
      <c r="B265" s="1" t="n">
        <v>45691.54719907408</v>
      </c>
      <c r="C265" s="1" t="n">
        <v>45884</v>
      </c>
      <c r="D265" t="inlineStr">
        <is>
          <t>KALMAR LÄN</t>
        </is>
      </c>
      <c r="E265" t="inlineStr">
        <is>
          <t>OSKARSHAMN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59474-2023</t>
        </is>
      </c>
      <c r="B266" s="1" t="n">
        <v>45254.43631944444</v>
      </c>
      <c r="C266" s="1" t="n">
        <v>45884</v>
      </c>
      <c r="D266" t="inlineStr">
        <is>
          <t>KALMAR LÄN</t>
        </is>
      </c>
      <c r="E266" t="inlineStr">
        <is>
          <t>OSKARSHAMN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6909-2022</t>
        </is>
      </c>
      <c r="B267" s="1" t="n">
        <v>44602.92667824074</v>
      </c>
      <c r="C267" s="1" t="n">
        <v>45884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57483-2021</t>
        </is>
      </c>
      <c r="B268" s="1" t="n">
        <v>44483</v>
      </c>
      <c r="C268" s="1" t="n">
        <v>45884</v>
      </c>
      <c r="D268" t="inlineStr">
        <is>
          <t>KALMAR LÄN</t>
        </is>
      </c>
      <c r="E268" t="inlineStr">
        <is>
          <t>OSKARSHAMN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1401-2022</t>
        </is>
      </c>
      <c r="B269" s="1" t="n">
        <v>44573</v>
      </c>
      <c r="C269" s="1" t="n">
        <v>45884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40177-2023</t>
        </is>
      </c>
      <c r="B270" s="1" t="n">
        <v>45169</v>
      </c>
      <c r="C270" s="1" t="n">
        <v>45884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3565-2022</t>
        </is>
      </c>
      <c r="B271" s="1" t="n">
        <v>44585.98170138889</v>
      </c>
      <c r="C271" s="1" t="n">
        <v>45884</v>
      </c>
      <c r="D271" t="inlineStr">
        <is>
          <t>KALMAR LÄN</t>
        </is>
      </c>
      <c r="E271" t="inlineStr">
        <is>
          <t>OSKARSHAMN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48539-2023</t>
        </is>
      </c>
      <c r="B272" s="1" t="n">
        <v>45208.38356481482</v>
      </c>
      <c r="C272" s="1" t="n">
        <v>45884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12176-2025</t>
        </is>
      </c>
      <c r="B273" s="1" t="n">
        <v>45729.45061342593</v>
      </c>
      <c r="C273" s="1" t="n">
        <v>45884</v>
      </c>
      <c r="D273" t="inlineStr">
        <is>
          <t>KALMAR LÄN</t>
        </is>
      </c>
      <c r="E273" t="inlineStr">
        <is>
          <t>OSKARSHAMN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19704-2024</t>
        </is>
      </c>
      <c r="B274" s="1" t="n">
        <v>45432.5475</v>
      </c>
      <c r="C274" s="1" t="n">
        <v>45884</v>
      </c>
      <c r="D274" t="inlineStr">
        <is>
          <t>KALMAR LÄN</t>
        </is>
      </c>
      <c r="E274" t="inlineStr">
        <is>
          <t>OSKARSHAMN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11450-2024</t>
        </is>
      </c>
      <c r="B275" s="1" t="n">
        <v>45372.56440972222</v>
      </c>
      <c r="C275" s="1" t="n">
        <v>45884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47965-2023</t>
        </is>
      </c>
      <c r="B276" s="1" t="n">
        <v>45204.60113425926</v>
      </c>
      <c r="C276" s="1" t="n">
        <v>45884</v>
      </c>
      <c r="D276" t="inlineStr">
        <is>
          <t>KALMAR LÄN</t>
        </is>
      </c>
      <c r="E276" t="inlineStr">
        <is>
          <t>OSKARSHAMN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52202-2023</t>
        </is>
      </c>
      <c r="B277" s="1" t="n">
        <v>45224.41850694444</v>
      </c>
      <c r="C277" s="1" t="n">
        <v>45884</v>
      </c>
      <c r="D277" t="inlineStr">
        <is>
          <t>KALMAR LÄN</t>
        </is>
      </c>
      <c r="E277" t="inlineStr">
        <is>
          <t>OSKARSHAMN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57359-2024</t>
        </is>
      </c>
      <c r="B278" s="1" t="n">
        <v>45629.65581018518</v>
      </c>
      <c r="C278" s="1" t="n">
        <v>45884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45884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7673-2024</t>
        </is>
      </c>
      <c r="B280" s="1" t="n">
        <v>45348.84033564815</v>
      </c>
      <c r="C280" s="1" t="n">
        <v>45884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7674-2024</t>
        </is>
      </c>
      <c r="B281" s="1" t="n">
        <v>45348.84243055555</v>
      </c>
      <c r="C281" s="1" t="n">
        <v>45884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7675-2024</t>
        </is>
      </c>
      <c r="B282" s="1" t="n">
        <v>45348.84297453704</v>
      </c>
      <c r="C282" s="1" t="n">
        <v>45884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10721-2024</t>
        </is>
      </c>
      <c r="B283" s="1" t="n">
        <v>45369.46770833333</v>
      </c>
      <c r="C283" s="1" t="n">
        <v>45884</v>
      </c>
      <c r="D283" t="inlineStr">
        <is>
          <t>KALMAR LÄN</t>
        </is>
      </c>
      <c r="E283" t="inlineStr">
        <is>
          <t>OSKARSHAMN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10724-2024</t>
        </is>
      </c>
      <c r="B284" s="1" t="n">
        <v>45369.47578703704</v>
      </c>
      <c r="C284" s="1" t="n">
        <v>45884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3356-2024</t>
        </is>
      </c>
      <c r="B285" s="1" t="n">
        <v>45317</v>
      </c>
      <c r="C285" s="1" t="n">
        <v>45884</v>
      </c>
      <c r="D285" t="inlineStr">
        <is>
          <t>KALMAR LÄN</t>
        </is>
      </c>
      <c r="E285" t="inlineStr">
        <is>
          <t>OSKARSHAMN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15782-2023</t>
        </is>
      </c>
      <c r="B286" s="1" t="n">
        <v>45021</v>
      </c>
      <c r="C286" s="1" t="n">
        <v>45884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11469-2024</t>
        </is>
      </c>
      <c r="B287" s="1" t="n">
        <v>45372.60196759259</v>
      </c>
      <c r="C287" s="1" t="n">
        <v>45884</v>
      </c>
      <c r="D287" t="inlineStr">
        <is>
          <t>KALMAR LÄN</t>
        </is>
      </c>
      <c r="E287" t="inlineStr">
        <is>
          <t>OSKARSHAMN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29022-2022</t>
        </is>
      </c>
      <c r="B288" s="1" t="n">
        <v>44749.77997685185</v>
      </c>
      <c r="C288" s="1" t="n">
        <v>45884</v>
      </c>
      <c r="D288" t="inlineStr">
        <is>
          <t>KALMAR LÄN</t>
        </is>
      </c>
      <c r="E288" t="inlineStr">
        <is>
          <t>OSKARSHAMN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39201-2022</t>
        </is>
      </c>
      <c r="B289" s="1" t="n">
        <v>44817</v>
      </c>
      <c r="C289" s="1" t="n">
        <v>45884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30946-2021</t>
        </is>
      </c>
      <c r="B290" s="1" t="n">
        <v>44365</v>
      </c>
      <c r="C290" s="1" t="n">
        <v>45884</v>
      </c>
      <c r="D290" t="inlineStr">
        <is>
          <t>KALMAR LÄN</t>
        </is>
      </c>
      <c r="E290" t="inlineStr">
        <is>
          <t>OSKARSHAMN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49817-2023</t>
        </is>
      </c>
      <c r="B291" s="1" t="n">
        <v>45212</v>
      </c>
      <c r="C291" s="1" t="n">
        <v>45884</v>
      </c>
      <c r="D291" t="inlineStr">
        <is>
          <t>KALMAR LÄN</t>
        </is>
      </c>
      <c r="E291" t="inlineStr">
        <is>
          <t>OSKARSHAMN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21906-2022</t>
        </is>
      </c>
      <c r="B292" s="1" t="n">
        <v>44711.45408564815</v>
      </c>
      <c r="C292" s="1" t="n">
        <v>45884</v>
      </c>
      <c r="D292" t="inlineStr">
        <is>
          <t>KALMAR LÄN</t>
        </is>
      </c>
      <c r="E292" t="inlineStr">
        <is>
          <t>OSKARSHAMN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11966-2023</t>
        </is>
      </c>
      <c r="B293" s="1" t="n">
        <v>44995.56314814815</v>
      </c>
      <c r="C293" s="1" t="n">
        <v>45884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39651-2022</t>
        </is>
      </c>
      <c r="B294" s="1" t="n">
        <v>44818</v>
      </c>
      <c r="C294" s="1" t="n">
        <v>45884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10538-2025</t>
        </is>
      </c>
      <c r="B295" s="1" t="n">
        <v>45721.47692129629</v>
      </c>
      <c r="C295" s="1" t="n">
        <v>45884</v>
      </c>
      <c r="D295" t="inlineStr">
        <is>
          <t>KALMAR LÄN</t>
        </is>
      </c>
      <c r="E295" t="inlineStr">
        <is>
          <t>OSKARSHAMN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39670-2022</t>
        </is>
      </c>
      <c r="B296" s="1" t="n">
        <v>44818</v>
      </c>
      <c r="C296" s="1" t="n">
        <v>45884</v>
      </c>
      <c r="D296" t="inlineStr">
        <is>
          <t>KALMAR LÄN</t>
        </is>
      </c>
      <c r="E296" t="inlineStr">
        <is>
          <t>OSKARSHAMN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3820-2023</t>
        </is>
      </c>
      <c r="B297" s="1" t="n">
        <v>44951</v>
      </c>
      <c r="C297" s="1" t="n">
        <v>45884</v>
      </c>
      <c r="D297" t="inlineStr">
        <is>
          <t>KALMAR LÄN</t>
        </is>
      </c>
      <c r="E297" t="inlineStr">
        <is>
          <t>OSKARSHAMN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30182-2024</t>
        </is>
      </c>
      <c r="B298" s="1" t="n">
        <v>45489.9324537037</v>
      </c>
      <c r="C298" s="1" t="n">
        <v>45884</v>
      </c>
      <c r="D298" t="inlineStr">
        <is>
          <t>KALMAR LÄN</t>
        </is>
      </c>
      <c r="E298" t="inlineStr">
        <is>
          <t>OSKARSHAMN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30278-2024</t>
        </is>
      </c>
      <c r="B299" s="1" t="n">
        <v>45490.63440972222</v>
      </c>
      <c r="C299" s="1" t="n">
        <v>45884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50169-2022</t>
        </is>
      </c>
      <c r="B300" s="1" t="n">
        <v>44865.60001157408</v>
      </c>
      <c r="C300" s="1" t="n">
        <v>45884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56206-2023</t>
        </is>
      </c>
      <c r="B301" s="1" t="n">
        <v>45240</v>
      </c>
      <c r="C301" s="1" t="n">
        <v>45884</v>
      </c>
      <c r="D301" t="inlineStr">
        <is>
          <t>KALMAR LÄN</t>
        </is>
      </c>
      <c r="E301" t="inlineStr">
        <is>
          <t>OSKARSHAMN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7813-2024</t>
        </is>
      </c>
      <c r="B302" s="1" t="n">
        <v>45349.67712962963</v>
      </c>
      <c r="C302" s="1" t="n">
        <v>45884</v>
      </c>
      <c r="D302" t="inlineStr">
        <is>
          <t>KALMAR LÄN</t>
        </is>
      </c>
      <c r="E302" t="inlineStr">
        <is>
          <t>OSKARSHAMN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5145-2025</t>
        </is>
      </c>
      <c r="B303" s="1" t="n">
        <v>45691.58703703704</v>
      </c>
      <c r="C303" s="1" t="n">
        <v>45884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49804-2022</t>
        </is>
      </c>
      <c r="B304" s="1" t="n">
        <v>44862</v>
      </c>
      <c r="C304" s="1" t="n">
        <v>45884</v>
      </c>
      <c r="D304" t="inlineStr">
        <is>
          <t>KALMAR LÄN</t>
        </is>
      </c>
      <c r="E304" t="inlineStr">
        <is>
          <t>OSKARSHAMN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32940-2023</t>
        </is>
      </c>
      <c r="B305" s="1" t="n">
        <v>45113</v>
      </c>
      <c r="C305" s="1" t="n">
        <v>45884</v>
      </c>
      <c r="D305" t="inlineStr">
        <is>
          <t>KALMAR LÄN</t>
        </is>
      </c>
      <c r="E305" t="inlineStr">
        <is>
          <t>OSKARSHAMN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20413-2023</t>
        </is>
      </c>
      <c r="B306" s="1" t="n">
        <v>45056.64768518518</v>
      </c>
      <c r="C306" s="1" t="n">
        <v>45884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46977-2021</t>
        </is>
      </c>
      <c r="B307" s="1" t="n">
        <v>44446</v>
      </c>
      <c r="C307" s="1" t="n">
        <v>45884</v>
      </c>
      <c r="D307" t="inlineStr">
        <is>
          <t>KALMAR LÄN</t>
        </is>
      </c>
      <c r="E307" t="inlineStr">
        <is>
          <t>OSKARSHAMN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34829-2024</t>
        </is>
      </c>
      <c r="B308" s="1" t="n">
        <v>45526.77739583333</v>
      </c>
      <c r="C308" s="1" t="n">
        <v>45884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27098-2023</t>
        </is>
      </c>
      <c r="B309" s="1" t="n">
        <v>45096</v>
      </c>
      <c r="C309" s="1" t="n">
        <v>45884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22818-2024</t>
        </is>
      </c>
      <c r="B310" s="1" t="n">
        <v>45448.52702546296</v>
      </c>
      <c r="C310" s="1" t="n">
        <v>45884</v>
      </c>
      <c r="D310" t="inlineStr">
        <is>
          <t>KALMAR LÄN</t>
        </is>
      </c>
      <c r="E310" t="inlineStr">
        <is>
          <t>OSKARSHAMN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22855-2024</t>
        </is>
      </c>
      <c r="B311" s="1" t="n">
        <v>45448.61481481481</v>
      </c>
      <c r="C311" s="1" t="n">
        <v>45884</v>
      </c>
      <c r="D311" t="inlineStr">
        <is>
          <t>KALMAR LÄN</t>
        </is>
      </c>
      <c r="E311" t="inlineStr">
        <is>
          <t>OSKARSHAMN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14949-2023</t>
        </is>
      </c>
      <c r="B312" s="1" t="n">
        <v>45015</v>
      </c>
      <c r="C312" s="1" t="n">
        <v>45884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5056-2024</t>
        </is>
      </c>
      <c r="B313" s="1" t="n">
        <v>45329</v>
      </c>
      <c r="C313" s="1" t="n">
        <v>45884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8236-2025</t>
        </is>
      </c>
      <c r="B314" s="1" t="n">
        <v>45708.47785879629</v>
      </c>
      <c r="C314" s="1" t="n">
        <v>45884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28442-2021</t>
        </is>
      </c>
      <c r="B315" s="1" t="n">
        <v>44356</v>
      </c>
      <c r="C315" s="1" t="n">
        <v>45884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55995-2023</t>
        </is>
      </c>
      <c r="B316" s="1" t="n">
        <v>45240</v>
      </c>
      <c r="C316" s="1" t="n">
        <v>45884</v>
      </c>
      <c r="D316" t="inlineStr">
        <is>
          <t>KALMAR LÄN</t>
        </is>
      </c>
      <c r="E316" t="inlineStr">
        <is>
          <t>OSKARSHAMN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55999-2023</t>
        </is>
      </c>
      <c r="B317" s="1" t="n">
        <v>45240</v>
      </c>
      <c r="C317" s="1" t="n">
        <v>45884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9941-2021</t>
        </is>
      </c>
      <c r="B318" s="1" t="n">
        <v>44253</v>
      </c>
      <c r="C318" s="1" t="n">
        <v>45884</v>
      </c>
      <c r="D318" t="inlineStr">
        <is>
          <t>KALMAR LÄN</t>
        </is>
      </c>
      <c r="E318" t="inlineStr">
        <is>
          <t>OSKARSHAMN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6123-2024</t>
        </is>
      </c>
      <c r="B319" s="1" t="n">
        <v>45337</v>
      </c>
      <c r="C319" s="1" t="n">
        <v>45884</v>
      </c>
      <c r="D319" t="inlineStr">
        <is>
          <t>KALMAR LÄN</t>
        </is>
      </c>
      <c r="E319" t="inlineStr">
        <is>
          <t>OSKARSHAMN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58910-2023</t>
        </is>
      </c>
      <c r="B320" s="1" t="n">
        <v>45252</v>
      </c>
      <c r="C320" s="1" t="n">
        <v>45884</v>
      </c>
      <c r="D320" t="inlineStr">
        <is>
          <t>KALMAR LÄN</t>
        </is>
      </c>
      <c r="E320" t="inlineStr">
        <is>
          <t>OSKARSHAMN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45884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17194-2023</t>
        </is>
      </c>
      <c r="B322" s="1" t="n">
        <v>45034</v>
      </c>
      <c r="C322" s="1" t="n">
        <v>45884</v>
      </c>
      <c r="D322" t="inlineStr">
        <is>
          <t>KALMAR LÄN</t>
        </is>
      </c>
      <c r="E322" t="inlineStr">
        <is>
          <t>OSKARSHAMN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60871-2022</t>
        </is>
      </c>
      <c r="B323" s="1" t="n">
        <v>44914.54905092593</v>
      </c>
      <c r="C323" s="1" t="n">
        <v>45884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60905-2022</t>
        </is>
      </c>
      <c r="B324" s="1" t="n">
        <v>44914.59553240741</v>
      </c>
      <c r="C324" s="1" t="n">
        <v>45884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57885-2023</t>
        </is>
      </c>
      <c r="B325" s="1" t="n">
        <v>45244</v>
      </c>
      <c r="C325" s="1" t="n">
        <v>45884</v>
      </c>
      <c r="D325" t="inlineStr">
        <is>
          <t>KALMAR LÄN</t>
        </is>
      </c>
      <c r="E325" t="inlineStr">
        <is>
          <t>OSKARSHAMN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27919-2023</t>
        </is>
      </c>
      <c r="B326" s="1" t="n">
        <v>45098.64069444445</v>
      </c>
      <c r="C326" s="1" t="n">
        <v>45884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50592-2024</t>
        </is>
      </c>
      <c r="B327" s="1" t="n">
        <v>45601</v>
      </c>
      <c r="C327" s="1" t="n">
        <v>45884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34066-2024</t>
        </is>
      </c>
      <c r="B328" s="1" t="n">
        <v>45523.62600694445</v>
      </c>
      <c r="C328" s="1" t="n">
        <v>45884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31146-2023</t>
        </is>
      </c>
      <c r="B329" s="1" t="n">
        <v>45113</v>
      </c>
      <c r="C329" s="1" t="n">
        <v>45884</v>
      </c>
      <c r="D329" t="inlineStr">
        <is>
          <t>KALMAR LÄN</t>
        </is>
      </c>
      <c r="E329" t="inlineStr">
        <is>
          <t>OSKARSHAMN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51766-2024</t>
        </is>
      </c>
      <c r="B330" s="1" t="n">
        <v>45604</v>
      </c>
      <c r="C330" s="1" t="n">
        <v>45884</v>
      </c>
      <c r="D330" t="inlineStr">
        <is>
          <t>KALMAR LÄN</t>
        </is>
      </c>
      <c r="E330" t="inlineStr">
        <is>
          <t>OSKARSHAMN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48582-2021</t>
        </is>
      </c>
      <c r="B331" s="1" t="n">
        <v>44452</v>
      </c>
      <c r="C331" s="1" t="n">
        <v>45884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45898-2024</t>
        </is>
      </c>
      <c r="B332" s="1" t="n">
        <v>45580.42840277778</v>
      </c>
      <c r="C332" s="1" t="n">
        <v>45884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11300-2024</t>
        </is>
      </c>
      <c r="B333" s="1" t="n">
        <v>45371.85319444445</v>
      </c>
      <c r="C333" s="1" t="n">
        <v>45884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12098-2024</t>
        </is>
      </c>
      <c r="B334" s="1" t="n">
        <v>45377</v>
      </c>
      <c r="C334" s="1" t="n">
        <v>45884</v>
      </c>
      <c r="D334" t="inlineStr">
        <is>
          <t>KALMAR LÄN</t>
        </is>
      </c>
      <c r="E334" t="inlineStr">
        <is>
          <t>OSKARSHAMN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63522-2023</t>
        </is>
      </c>
      <c r="B335" s="1" t="n">
        <v>45274</v>
      </c>
      <c r="C335" s="1" t="n">
        <v>45884</v>
      </c>
      <c r="D335" t="inlineStr">
        <is>
          <t>KALMAR LÄN</t>
        </is>
      </c>
      <c r="E335" t="inlineStr">
        <is>
          <t>OSKARSHAMN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60703-2024</t>
        </is>
      </c>
      <c r="B336" s="1" t="n">
        <v>45644.49186342592</v>
      </c>
      <c r="C336" s="1" t="n">
        <v>45884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13729-2023</t>
        </is>
      </c>
      <c r="B337" s="1" t="n">
        <v>45007.34189814814</v>
      </c>
      <c r="C337" s="1" t="n">
        <v>45884</v>
      </c>
      <c r="D337" t="inlineStr">
        <is>
          <t>KALMAR LÄN</t>
        </is>
      </c>
      <c r="E337" t="inlineStr">
        <is>
          <t>OSKARSHAMN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56576-2024</t>
        </is>
      </c>
      <c r="B338" s="1" t="n">
        <v>45625.59788194444</v>
      </c>
      <c r="C338" s="1" t="n">
        <v>45884</v>
      </c>
      <c r="D338" t="inlineStr">
        <is>
          <t>KALMAR LÄN</t>
        </is>
      </c>
      <c r="E338" t="inlineStr">
        <is>
          <t>OSKARSHAMN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25867-2022</t>
        </is>
      </c>
      <c r="B339" s="1" t="n">
        <v>44733.64194444445</v>
      </c>
      <c r="C339" s="1" t="n">
        <v>45884</v>
      </c>
      <c r="D339" t="inlineStr">
        <is>
          <t>KALMAR LÄN</t>
        </is>
      </c>
      <c r="E339" t="inlineStr">
        <is>
          <t>OSKARSHAMN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52214-2023</t>
        </is>
      </c>
      <c r="B340" s="1" t="n">
        <v>45224.44980324074</v>
      </c>
      <c r="C340" s="1" t="n">
        <v>45884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13072-2024</t>
        </is>
      </c>
      <c r="B341" s="1" t="n">
        <v>45385.65076388889</v>
      </c>
      <c r="C341" s="1" t="n">
        <v>45884</v>
      </c>
      <c r="D341" t="inlineStr">
        <is>
          <t>KALMAR LÄN</t>
        </is>
      </c>
      <c r="E341" t="inlineStr">
        <is>
          <t>OSKARSHAMN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51009-2023</t>
        </is>
      </c>
      <c r="B342" s="1" t="n">
        <v>45218.56766203704</v>
      </c>
      <c r="C342" s="1" t="n">
        <v>45884</v>
      </c>
      <c r="D342" t="inlineStr">
        <is>
          <t>KALMAR LÄN</t>
        </is>
      </c>
      <c r="E342" t="inlineStr">
        <is>
          <t>OSKARSHAMN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43463-2022</t>
        </is>
      </c>
      <c r="B343" s="1" t="n">
        <v>44836.68821759259</v>
      </c>
      <c r="C343" s="1" t="n">
        <v>45884</v>
      </c>
      <c r="D343" t="inlineStr">
        <is>
          <t>KALMAR LÄN</t>
        </is>
      </c>
      <c r="E343" t="inlineStr">
        <is>
          <t>OSKARSHAMN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54634-2024</t>
        </is>
      </c>
      <c r="B344" s="1" t="n">
        <v>45617.87357638889</v>
      </c>
      <c r="C344" s="1" t="n">
        <v>45884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26433-2023</t>
        </is>
      </c>
      <c r="B345" s="1" t="n">
        <v>45092.40744212963</v>
      </c>
      <c r="C345" s="1" t="n">
        <v>45884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17179-2023</t>
        </is>
      </c>
      <c r="B346" s="1" t="n">
        <v>45034</v>
      </c>
      <c r="C346" s="1" t="n">
        <v>45884</v>
      </c>
      <c r="D346" t="inlineStr">
        <is>
          <t>KALMAR LÄN</t>
        </is>
      </c>
      <c r="E346" t="inlineStr">
        <is>
          <t>OSKARSHAMN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30273-2024</t>
        </is>
      </c>
      <c r="B347" s="1" t="n">
        <v>45490.61532407408</v>
      </c>
      <c r="C347" s="1" t="n">
        <v>45884</v>
      </c>
      <c r="D347" t="inlineStr">
        <is>
          <t>KALMAR LÄN</t>
        </is>
      </c>
      <c r="E347" t="inlineStr">
        <is>
          <t>OSKARSHAMN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59456-2023</t>
        </is>
      </c>
      <c r="B348" s="1" t="n">
        <v>45254.37971064815</v>
      </c>
      <c r="C348" s="1" t="n">
        <v>45884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53024-2021</t>
        </is>
      </c>
      <c r="B349" s="1" t="n">
        <v>44467.68127314815</v>
      </c>
      <c r="C349" s="1" t="n">
        <v>45884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5889-2023</t>
        </is>
      </c>
      <c r="B350" s="1" t="n">
        <v>44963</v>
      </c>
      <c r="C350" s="1" t="n">
        <v>45884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50471-2023</t>
        </is>
      </c>
      <c r="B351" s="1" t="n">
        <v>45216</v>
      </c>
      <c r="C351" s="1" t="n">
        <v>45884</v>
      </c>
      <c r="D351" t="inlineStr">
        <is>
          <t>KALMAR LÄN</t>
        </is>
      </c>
      <c r="E351" t="inlineStr">
        <is>
          <t>OSKARSHAMN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51076-2024</t>
        </is>
      </c>
      <c r="B352" s="1" t="n">
        <v>45603.45233796296</v>
      </c>
      <c r="C352" s="1" t="n">
        <v>45884</v>
      </c>
      <c r="D352" t="inlineStr">
        <is>
          <t>KALMAR LÄN</t>
        </is>
      </c>
      <c r="E352" t="inlineStr">
        <is>
          <t>OSKARSHAMN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41452-2024</t>
        </is>
      </c>
      <c r="B353" s="1" t="n">
        <v>45560.40998842593</v>
      </c>
      <c r="C353" s="1" t="n">
        <v>45884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59002-2021</t>
        </is>
      </c>
      <c r="B354" s="1" t="n">
        <v>44490</v>
      </c>
      <c r="C354" s="1" t="n">
        <v>45884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32937-2023</t>
        </is>
      </c>
      <c r="B355" s="1" t="n">
        <v>45113</v>
      </c>
      <c r="C355" s="1" t="n">
        <v>45884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56748-2023</t>
        </is>
      </c>
      <c r="B356" s="1" t="n">
        <v>45244.36743055555</v>
      </c>
      <c r="C356" s="1" t="n">
        <v>45884</v>
      </c>
      <c r="D356" t="inlineStr">
        <is>
          <t>KALMAR LÄN</t>
        </is>
      </c>
      <c r="E356" t="inlineStr">
        <is>
          <t>OSKARSHAMN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62330-2023</t>
        </is>
      </c>
      <c r="B357" s="1" t="n">
        <v>45267</v>
      </c>
      <c r="C357" s="1" t="n">
        <v>45884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10424-2025</t>
        </is>
      </c>
      <c r="B358" s="1" t="n">
        <v>45720.65146990741</v>
      </c>
      <c r="C358" s="1" t="n">
        <v>45884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5882-2023</t>
        </is>
      </c>
      <c r="B359" s="1" t="n">
        <v>44963.63244212963</v>
      </c>
      <c r="C359" s="1" t="n">
        <v>45884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7260-2023</t>
        </is>
      </c>
      <c r="B360" s="1" t="n">
        <v>44970.63949074074</v>
      </c>
      <c r="C360" s="1" t="n">
        <v>45884</v>
      </c>
      <c r="D360" t="inlineStr">
        <is>
          <t>KALMAR LÄN</t>
        </is>
      </c>
      <c r="E360" t="inlineStr">
        <is>
          <t>OSKARSHAMN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33461-2024</t>
        </is>
      </c>
      <c r="B361" s="1" t="n">
        <v>45519.58827546296</v>
      </c>
      <c r="C361" s="1" t="n">
        <v>45884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11461-2024</t>
        </is>
      </c>
      <c r="B362" s="1" t="n">
        <v>45372.58623842592</v>
      </c>
      <c r="C362" s="1" t="n">
        <v>45884</v>
      </c>
      <c r="D362" t="inlineStr">
        <is>
          <t>KALMAR LÄN</t>
        </is>
      </c>
      <c r="E362" t="inlineStr">
        <is>
          <t>OSKARSHAMN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11473-2024</t>
        </is>
      </c>
      <c r="B363" s="1" t="n">
        <v>45372</v>
      </c>
      <c r="C363" s="1" t="n">
        <v>45884</v>
      </c>
      <c r="D363" t="inlineStr">
        <is>
          <t>KALMAR LÄN</t>
        </is>
      </c>
      <c r="E363" t="inlineStr">
        <is>
          <t>OSKARSHAMN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9633-2025</t>
        </is>
      </c>
      <c r="B364" s="1" t="n">
        <v>45715.72884259259</v>
      </c>
      <c r="C364" s="1" t="n">
        <v>45884</v>
      </c>
      <c r="D364" t="inlineStr">
        <is>
          <t>KALMAR LÄN</t>
        </is>
      </c>
      <c r="E364" t="inlineStr">
        <is>
          <t>OSKARSHAMN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14475-2023</t>
        </is>
      </c>
      <c r="B365" s="1" t="n">
        <v>45012</v>
      </c>
      <c r="C365" s="1" t="n">
        <v>45884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11507-2025</t>
        </is>
      </c>
      <c r="B366" s="1" t="n">
        <v>45726.82771990741</v>
      </c>
      <c r="C366" s="1" t="n">
        <v>45884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35544-2024</t>
        </is>
      </c>
      <c r="B367" s="1" t="n">
        <v>45531</v>
      </c>
      <c r="C367" s="1" t="n">
        <v>45884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6120-2021</t>
        </is>
      </c>
      <c r="B368" s="1" t="n">
        <v>44232</v>
      </c>
      <c r="C368" s="1" t="n">
        <v>45884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49592-2021</t>
        </is>
      </c>
      <c r="B369" s="1" t="n">
        <v>44455.39767361111</v>
      </c>
      <c r="C369" s="1" t="n">
        <v>45884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35154-2024</t>
        </is>
      </c>
      <c r="B370" s="1" t="n">
        <v>45530.38103009259</v>
      </c>
      <c r="C370" s="1" t="n">
        <v>45884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27827-2023</t>
        </is>
      </c>
      <c r="B371" s="1" t="n">
        <v>45098.52928240741</v>
      </c>
      <c r="C371" s="1" t="n">
        <v>45884</v>
      </c>
      <c r="D371" t="inlineStr">
        <is>
          <t>KALMAR LÄN</t>
        </is>
      </c>
      <c r="E371" t="inlineStr">
        <is>
          <t>OSKARSHAMN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13163-2025</t>
        </is>
      </c>
      <c r="B372" s="1" t="n">
        <v>45735.36414351852</v>
      </c>
      <c r="C372" s="1" t="n">
        <v>45884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62322-2023</t>
        </is>
      </c>
      <c r="B373" s="1" t="n">
        <v>45267.81348379629</v>
      </c>
      <c r="C373" s="1" t="n">
        <v>45884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62325-2023</t>
        </is>
      </c>
      <c r="B374" s="1" t="n">
        <v>45267</v>
      </c>
      <c r="C374" s="1" t="n">
        <v>45884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13778-2024</t>
        </is>
      </c>
      <c r="B375" s="1" t="n">
        <v>45391.32674768518</v>
      </c>
      <c r="C375" s="1" t="n">
        <v>45884</v>
      </c>
      <c r="D375" t="inlineStr">
        <is>
          <t>KALMAR LÄN</t>
        </is>
      </c>
      <c r="E375" t="inlineStr">
        <is>
          <t>OSKARSHAMN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59013-2023</t>
        </is>
      </c>
      <c r="B376" s="1" t="n">
        <v>45252.65233796297</v>
      </c>
      <c r="C376" s="1" t="n">
        <v>45884</v>
      </c>
      <c r="D376" t="inlineStr">
        <is>
          <t>KALMAR LÄN</t>
        </is>
      </c>
      <c r="E376" t="inlineStr">
        <is>
          <t>OSKARSHAMN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12567-2024</t>
        </is>
      </c>
      <c r="B377" s="1" t="n">
        <v>45379.69200231481</v>
      </c>
      <c r="C377" s="1" t="n">
        <v>45884</v>
      </c>
      <c r="D377" t="inlineStr">
        <is>
          <t>KALMAR LÄN</t>
        </is>
      </c>
      <c r="E377" t="inlineStr">
        <is>
          <t>OSKARSHAMN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30281-2024</t>
        </is>
      </c>
      <c r="B378" s="1" t="n">
        <v>45490.636875</v>
      </c>
      <c r="C378" s="1" t="n">
        <v>45884</v>
      </c>
      <c r="D378" t="inlineStr">
        <is>
          <t>KALMAR LÄN</t>
        </is>
      </c>
      <c r="E378" t="inlineStr">
        <is>
          <t>OSKARSHAMN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9275-2023</t>
        </is>
      </c>
      <c r="B379" s="1" t="n">
        <v>44980.61068287037</v>
      </c>
      <c r="C379" s="1" t="n">
        <v>45884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9831-2023</t>
        </is>
      </c>
      <c r="B380" s="1" t="n">
        <v>44984.76328703704</v>
      </c>
      <c r="C380" s="1" t="n">
        <v>45884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46248-2023</t>
        </is>
      </c>
      <c r="B381" s="1" t="n">
        <v>45196.87342592593</v>
      </c>
      <c r="C381" s="1" t="n">
        <v>45884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25400-2021</t>
        </is>
      </c>
      <c r="B382" s="1" t="n">
        <v>44342</v>
      </c>
      <c r="C382" s="1" t="n">
        <v>45884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29145-2023</t>
        </is>
      </c>
      <c r="B383" s="1" t="n">
        <v>45105</v>
      </c>
      <c r="C383" s="1" t="n">
        <v>45884</v>
      </c>
      <c r="D383" t="inlineStr">
        <is>
          <t>KALMAR LÄN</t>
        </is>
      </c>
      <c r="E383" t="inlineStr">
        <is>
          <t>OSKARSHAMN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27143-2023</t>
        </is>
      </c>
      <c r="B384" s="1" t="n">
        <v>45096.46872685185</v>
      </c>
      <c r="C384" s="1" t="n">
        <v>45884</v>
      </c>
      <c r="D384" t="inlineStr">
        <is>
          <t>KALMAR LÄN</t>
        </is>
      </c>
      <c r="E384" t="inlineStr">
        <is>
          <t>OSKARSHAMN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18346-2023</t>
        </is>
      </c>
      <c r="B385" s="1" t="n">
        <v>45041.68686342592</v>
      </c>
      <c r="C385" s="1" t="n">
        <v>45884</v>
      </c>
      <c r="D385" t="inlineStr">
        <is>
          <t>KALMAR LÄN</t>
        </is>
      </c>
      <c r="E385" t="inlineStr">
        <is>
          <t>OSKARSHAMN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2587-2023</t>
        </is>
      </c>
      <c r="B386" s="1" t="n">
        <v>44943</v>
      </c>
      <c r="C386" s="1" t="n">
        <v>45884</v>
      </c>
      <c r="D386" t="inlineStr">
        <is>
          <t>KALMAR LÄN</t>
        </is>
      </c>
      <c r="E386" t="inlineStr">
        <is>
          <t>OSKARSHAMN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156-2022</t>
        </is>
      </c>
      <c r="B387" s="1" t="n">
        <v>44564.60331018519</v>
      </c>
      <c r="C387" s="1" t="n">
        <v>45884</v>
      </c>
      <c r="D387" t="inlineStr">
        <is>
          <t>KALMAR LÄN</t>
        </is>
      </c>
      <c r="E387" t="inlineStr">
        <is>
          <t>OSKARSHAMN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42904-2024</t>
        </is>
      </c>
      <c r="B388" s="1" t="n">
        <v>45566.88295138889</v>
      </c>
      <c r="C388" s="1" t="n">
        <v>45884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15953-2024</t>
        </is>
      </c>
      <c r="B389" s="1" t="n">
        <v>45405.52</v>
      </c>
      <c r="C389" s="1" t="n">
        <v>45884</v>
      </c>
      <c r="D389" t="inlineStr">
        <is>
          <t>KALMAR LÄN</t>
        </is>
      </c>
      <c r="E389" t="inlineStr">
        <is>
          <t>OSKARSHAMN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15954-2024</t>
        </is>
      </c>
      <c r="B390" s="1" t="n">
        <v>45405.52430555555</v>
      </c>
      <c r="C390" s="1" t="n">
        <v>45884</v>
      </c>
      <c r="D390" t="inlineStr">
        <is>
          <t>KALMAR LÄN</t>
        </is>
      </c>
      <c r="E390" t="inlineStr">
        <is>
          <t>OSKARSHAMN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19997-2025</t>
        </is>
      </c>
      <c r="B391" s="1" t="n">
        <v>45771.81793981481</v>
      </c>
      <c r="C391" s="1" t="n">
        <v>45884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37090-2021</t>
        </is>
      </c>
      <c r="B392" s="1" t="n">
        <v>44395.72300925926</v>
      </c>
      <c r="C392" s="1" t="n">
        <v>45884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35541-2024</t>
        </is>
      </c>
      <c r="B393" s="1" t="n">
        <v>45531</v>
      </c>
      <c r="C393" s="1" t="n">
        <v>45884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48000-2024</t>
        </is>
      </c>
      <c r="B394" s="1" t="n">
        <v>45589.44753472223</v>
      </c>
      <c r="C394" s="1" t="n">
        <v>45884</v>
      </c>
      <c r="D394" t="inlineStr">
        <is>
          <t>KALMAR LÄN</t>
        </is>
      </c>
      <c r="E394" t="inlineStr">
        <is>
          <t>OSKARSHAMN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64475-2023</t>
        </is>
      </c>
      <c r="B395" s="1" t="n">
        <v>45280.85986111111</v>
      </c>
      <c r="C395" s="1" t="n">
        <v>45884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50922-2022</t>
        </is>
      </c>
      <c r="B396" s="1" t="n">
        <v>44865</v>
      </c>
      <c r="C396" s="1" t="n">
        <v>45884</v>
      </c>
      <c r="D396" t="inlineStr">
        <is>
          <t>KALMAR LÄN</t>
        </is>
      </c>
      <c r="E396" t="inlineStr">
        <is>
          <t>OSKARSHAMN</t>
        </is>
      </c>
      <c r="F396" t="inlineStr">
        <is>
          <t>Övriga Aktiebolag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60232-2023</t>
        </is>
      </c>
      <c r="B397" s="1" t="n">
        <v>45258.62900462963</v>
      </c>
      <c r="C397" s="1" t="n">
        <v>45884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6103-2025</t>
        </is>
      </c>
      <c r="B398" s="1" t="n">
        <v>45697.94736111111</v>
      </c>
      <c r="C398" s="1" t="n">
        <v>45884</v>
      </c>
      <c r="D398" t="inlineStr">
        <is>
          <t>KALMAR LÄN</t>
        </is>
      </c>
      <c r="E398" t="inlineStr">
        <is>
          <t>OSKARSHAMN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37126-2024</t>
        </is>
      </c>
      <c r="B399" s="1" t="n">
        <v>45539.56</v>
      </c>
      <c r="C399" s="1" t="n">
        <v>45884</v>
      </c>
      <c r="D399" t="inlineStr">
        <is>
          <t>KALMAR LÄN</t>
        </is>
      </c>
      <c r="E399" t="inlineStr">
        <is>
          <t>OSKARSHAMN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30289-2024</t>
        </is>
      </c>
      <c r="B400" s="1" t="n">
        <v>45490.64616898148</v>
      </c>
      <c r="C400" s="1" t="n">
        <v>45884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57110-2023</t>
        </is>
      </c>
      <c r="B401" s="1" t="n">
        <v>45245.35430555556</v>
      </c>
      <c r="C401" s="1" t="n">
        <v>45884</v>
      </c>
      <c r="D401" t="inlineStr">
        <is>
          <t>KALMAR LÄN</t>
        </is>
      </c>
      <c r="E401" t="inlineStr">
        <is>
          <t>OSKARSHAMN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46068-2023</t>
        </is>
      </c>
      <c r="B402" s="1" t="n">
        <v>45196</v>
      </c>
      <c r="C402" s="1" t="n">
        <v>45884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51721-2024</t>
        </is>
      </c>
      <c r="B403" s="1" t="n">
        <v>45604</v>
      </c>
      <c r="C403" s="1" t="n">
        <v>45884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51025-2023</t>
        </is>
      </c>
      <c r="B404" s="1" t="n">
        <v>45218.60378472223</v>
      </c>
      <c r="C404" s="1" t="n">
        <v>45884</v>
      </c>
      <c r="D404" t="inlineStr">
        <is>
          <t>KALMAR LÄN</t>
        </is>
      </c>
      <c r="E404" t="inlineStr">
        <is>
          <t>OSKARSHAMN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58401-2021</t>
        </is>
      </c>
      <c r="B405" s="1" t="n">
        <v>44488</v>
      </c>
      <c r="C405" s="1" t="n">
        <v>45884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31079-2023</t>
        </is>
      </c>
      <c r="B406" s="1" t="n">
        <v>45113.64251157407</v>
      </c>
      <c r="C406" s="1" t="n">
        <v>45884</v>
      </c>
      <c r="D406" t="inlineStr">
        <is>
          <t>KALMAR LÄN</t>
        </is>
      </c>
      <c r="E406" t="inlineStr">
        <is>
          <t>OSKARSHAMN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39939-2023</t>
        </is>
      </c>
      <c r="B407" s="1" t="n">
        <v>45168</v>
      </c>
      <c r="C407" s="1" t="n">
        <v>45884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2782-2024</t>
        </is>
      </c>
      <c r="B408" s="1" t="n">
        <v>45314.63751157407</v>
      </c>
      <c r="C408" s="1" t="n">
        <v>45884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48923-2023</t>
        </is>
      </c>
      <c r="B409" s="1" t="n">
        <v>45209.5540625</v>
      </c>
      <c r="C409" s="1" t="n">
        <v>45884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33946-2021</t>
        </is>
      </c>
      <c r="B410" s="1" t="n">
        <v>44378.82424768519</v>
      </c>
      <c r="C410" s="1" t="n">
        <v>45884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17623-2023</t>
        </is>
      </c>
      <c r="B411" s="1" t="n">
        <v>45036</v>
      </c>
      <c r="C411" s="1" t="n">
        <v>45884</v>
      </c>
      <c r="D411" t="inlineStr">
        <is>
          <t>KALMAR LÄN</t>
        </is>
      </c>
      <c r="E411" t="inlineStr">
        <is>
          <t>OSKARSHAMN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19283-2025</t>
        </is>
      </c>
      <c r="B412" s="1" t="n">
        <v>45769.54327546297</v>
      </c>
      <c r="C412" s="1" t="n">
        <v>45884</v>
      </c>
      <c r="D412" t="inlineStr">
        <is>
          <t>KALMAR LÄN</t>
        </is>
      </c>
      <c r="E412" t="inlineStr">
        <is>
          <t>OSKARSHAMN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19285-2025</t>
        </is>
      </c>
      <c r="B413" s="1" t="n">
        <v>45769.54868055556</v>
      </c>
      <c r="C413" s="1" t="n">
        <v>45884</v>
      </c>
      <c r="D413" t="inlineStr">
        <is>
          <t>KALMAR LÄN</t>
        </is>
      </c>
      <c r="E413" t="inlineStr">
        <is>
          <t>OSKARSHAMN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31144-2023</t>
        </is>
      </c>
      <c r="B414" s="1" t="n">
        <v>45113.73296296296</v>
      </c>
      <c r="C414" s="1" t="n">
        <v>45884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39911-2024</t>
        </is>
      </c>
      <c r="B415" s="1" t="n">
        <v>45553.51680555556</v>
      </c>
      <c r="C415" s="1" t="n">
        <v>45884</v>
      </c>
      <c r="D415" t="inlineStr">
        <is>
          <t>KALMAR LÄN</t>
        </is>
      </c>
      <c r="E415" t="inlineStr">
        <is>
          <t>OSKARSHAMN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30057-2023</t>
        </is>
      </c>
      <c r="B416" s="1" t="n">
        <v>45110</v>
      </c>
      <c r="C416" s="1" t="n">
        <v>45884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9337-2023</t>
        </is>
      </c>
      <c r="B417" s="1" t="n">
        <v>44980.8393287037</v>
      </c>
      <c r="C417" s="1" t="n">
        <v>45884</v>
      </c>
      <c r="D417" t="inlineStr">
        <is>
          <t>KALMAR LÄN</t>
        </is>
      </c>
      <c r="E417" t="inlineStr">
        <is>
          <t>OSKARSHAMN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11665-2023</t>
        </is>
      </c>
      <c r="B418" s="1" t="n">
        <v>44994.47293981481</v>
      </c>
      <c r="C418" s="1" t="n">
        <v>45884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6102-2025</t>
        </is>
      </c>
      <c r="B419" s="1" t="n">
        <v>45697.94650462963</v>
      </c>
      <c r="C419" s="1" t="n">
        <v>45884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11297-2024</t>
        </is>
      </c>
      <c r="B420" s="1" t="n">
        <v>45371.85089120371</v>
      </c>
      <c r="C420" s="1" t="n">
        <v>45884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11298-2024</t>
        </is>
      </c>
      <c r="B421" s="1" t="n">
        <v>45371.85148148148</v>
      </c>
      <c r="C421" s="1" t="n">
        <v>45884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11301-2024</t>
        </is>
      </c>
      <c r="B422" s="1" t="n">
        <v>45371.85366898148</v>
      </c>
      <c r="C422" s="1" t="n">
        <v>45884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50256-2023</t>
        </is>
      </c>
      <c r="B423" s="1" t="n">
        <v>45209</v>
      </c>
      <c r="C423" s="1" t="n">
        <v>45884</v>
      </c>
      <c r="D423" t="inlineStr">
        <is>
          <t>KALMAR LÄN</t>
        </is>
      </c>
      <c r="E423" t="inlineStr">
        <is>
          <t>OSKARSHAMN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25447-2024</t>
        </is>
      </c>
      <c r="B424" s="1" t="n">
        <v>45463.40362268518</v>
      </c>
      <c r="C424" s="1" t="n">
        <v>45884</v>
      </c>
      <c r="D424" t="inlineStr">
        <is>
          <t>KALMAR LÄN</t>
        </is>
      </c>
      <c r="E424" t="inlineStr">
        <is>
          <t>OSKARSHAMN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19307-2025</t>
        </is>
      </c>
      <c r="B425" s="1" t="n">
        <v>45769.56856481481</v>
      </c>
      <c r="C425" s="1" t="n">
        <v>45884</v>
      </c>
      <c r="D425" t="inlineStr">
        <is>
          <t>KALMAR LÄN</t>
        </is>
      </c>
      <c r="E425" t="inlineStr">
        <is>
          <t>OSKARSHAMN</t>
        </is>
      </c>
      <c r="G425" t="n">
        <v>19.5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8499-2023</t>
        </is>
      </c>
      <c r="B426" s="1" t="n">
        <v>44977</v>
      </c>
      <c r="C426" s="1" t="n">
        <v>45884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23202-2023</t>
        </is>
      </c>
      <c r="B427" s="1" t="n">
        <v>45075</v>
      </c>
      <c r="C427" s="1" t="n">
        <v>45884</v>
      </c>
      <c r="D427" t="inlineStr">
        <is>
          <t>KALMAR LÄN</t>
        </is>
      </c>
      <c r="E427" t="inlineStr">
        <is>
          <t>OSKARSHAMN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13469-2025</t>
        </is>
      </c>
      <c r="B428" s="1" t="n">
        <v>45736.40427083334</v>
      </c>
      <c r="C428" s="1" t="n">
        <v>45884</v>
      </c>
      <c r="D428" t="inlineStr">
        <is>
          <t>KALMAR LÄN</t>
        </is>
      </c>
      <c r="E428" t="inlineStr">
        <is>
          <t>OSKARSHAMN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26451-2024</t>
        </is>
      </c>
      <c r="B429" s="1" t="n">
        <v>45469.51068287037</v>
      </c>
      <c r="C429" s="1" t="n">
        <v>45884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8656-2022</t>
        </is>
      </c>
      <c r="B430" s="1" t="n">
        <v>44613</v>
      </c>
      <c r="C430" s="1" t="n">
        <v>45884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44539.86905092592</v>
      </c>
      <c r="C431" s="1" t="n">
        <v>45884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60237-2023</t>
        </is>
      </c>
      <c r="B432" s="1" t="n">
        <v>45258.63960648148</v>
      </c>
      <c r="C432" s="1" t="n">
        <v>45884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48534-2020</t>
        </is>
      </c>
      <c r="B433" s="1" t="n">
        <v>44103</v>
      </c>
      <c r="C433" s="1" t="n">
        <v>45884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55569-2024</t>
        </is>
      </c>
      <c r="B434" s="1" t="n">
        <v>45621</v>
      </c>
      <c r="C434" s="1" t="n">
        <v>45884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19290-2025</t>
        </is>
      </c>
      <c r="B435" s="1" t="n">
        <v>45769.55505787037</v>
      </c>
      <c r="C435" s="1" t="n">
        <v>45884</v>
      </c>
      <c r="D435" t="inlineStr">
        <is>
          <t>KALMAR LÄN</t>
        </is>
      </c>
      <c r="E435" t="inlineStr">
        <is>
          <t>OSKARSHAMN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52204-2023</t>
        </is>
      </c>
      <c r="B436" s="1" t="n">
        <v>45224.42729166667</v>
      </c>
      <c r="C436" s="1" t="n">
        <v>45884</v>
      </c>
      <c r="D436" t="inlineStr">
        <is>
          <t>KALMAR LÄN</t>
        </is>
      </c>
      <c r="E436" t="inlineStr">
        <is>
          <t>OSKARSHAMN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3837-2023</t>
        </is>
      </c>
      <c r="B437" s="1" t="n">
        <v>44951.64454861111</v>
      </c>
      <c r="C437" s="1" t="n">
        <v>45884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60401-2024</t>
        </is>
      </c>
      <c r="B438" s="1" t="n">
        <v>45643.5005787037</v>
      </c>
      <c r="C438" s="1" t="n">
        <v>45884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8282-2025</t>
        </is>
      </c>
      <c r="B439" s="1" t="n">
        <v>45708.56193287037</v>
      </c>
      <c r="C439" s="1" t="n">
        <v>45884</v>
      </c>
      <c r="D439" t="inlineStr">
        <is>
          <t>KALMAR LÄN</t>
        </is>
      </c>
      <c r="E439" t="inlineStr">
        <is>
          <t>OSKARSHAMN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64474-2023</t>
        </is>
      </c>
      <c r="B440" s="1" t="n">
        <v>45280.85377314815</v>
      </c>
      <c r="C440" s="1" t="n">
        <v>45884</v>
      </c>
      <c r="D440" t="inlineStr">
        <is>
          <t>KALMAR LÄN</t>
        </is>
      </c>
      <c r="E440" t="inlineStr">
        <is>
          <t>OSKARSHAMN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64476-2023</t>
        </is>
      </c>
      <c r="B441" s="1" t="n">
        <v>45280.86780092592</v>
      </c>
      <c r="C441" s="1" t="n">
        <v>45884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59075-2021</t>
        </is>
      </c>
      <c r="B442" s="1" t="n">
        <v>44489</v>
      </c>
      <c r="C442" s="1" t="n">
        <v>45884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42903-2024</t>
        </is>
      </c>
      <c r="B443" s="1" t="n">
        <v>45566.88059027777</v>
      </c>
      <c r="C443" s="1" t="n">
        <v>45884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11933-2023</t>
        </is>
      </c>
      <c r="B444" s="1" t="n">
        <v>44995.4984375</v>
      </c>
      <c r="C444" s="1" t="n">
        <v>45884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28538-2023</t>
        </is>
      </c>
      <c r="B445" s="1" t="n">
        <v>45103.49568287037</v>
      </c>
      <c r="C445" s="1" t="n">
        <v>45884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28544-2023</t>
        </is>
      </c>
      <c r="B446" s="1" t="n">
        <v>45103</v>
      </c>
      <c r="C446" s="1" t="n">
        <v>45884</v>
      </c>
      <c r="D446" t="inlineStr">
        <is>
          <t>KALMAR LÄN</t>
        </is>
      </c>
      <c r="E446" t="inlineStr">
        <is>
          <t>OSKARSHAMN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28116-2023</t>
        </is>
      </c>
      <c r="B447" s="1" t="n">
        <v>45099</v>
      </c>
      <c r="C447" s="1" t="n">
        <v>45884</v>
      </c>
      <c r="D447" t="inlineStr">
        <is>
          <t>KALMAR LÄN</t>
        </is>
      </c>
      <c r="E447" t="inlineStr">
        <is>
          <t>OSKARSHAMN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43931-2024</t>
        </is>
      </c>
      <c r="B448" s="1" t="n">
        <v>45572</v>
      </c>
      <c r="C448" s="1" t="n">
        <v>45884</v>
      </c>
      <c r="D448" t="inlineStr">
        <is>
          <t>KALMAR LÄN</t>
        </is>
      </c>
      <c r="E448" t="inlineStr">
        <is>
          <t>OSKARSHAMN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8846-2023</t>
        </is>
      </c>
      <c r="B449" s="1" t="n">
        <v>44978.76613425926</v>
      </c>
      <c r="C449" s="1" t="n">
        <v>45884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13467-2025</t>
        </is>
      </c>
      <c r="B450" s="1" t="n">
        <v>45736.39861111111</v>
      </c>
      <c r="C450" s="1" t="n">
        <v>45884</v>
      </c>
      <c r="D450" t="inlineStr">
        <is>
          <t>KALMAR LÄN</t>
        </is>
      </c>
      <c r="E450" t="inlineStr">
        <is>
          <t>OSKARSHAMN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13468-2025</t>
        </is>
      </c>
      <c r="B451" s="1" t="n">
        <v>45736.40155092593</v>
      </c>
      <c r="C451" s="1" t="n">
        <v>45884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5134-2025</t>
        </is>
      </c>
      <c r="B452" s="1" t="n">
        <v>45691.57753472222</v>
      </c>
      <c r="C452" s="1" t="n">
        <v>45884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58406-2021</t>
        </is>
      </c>
      <c r="B453" s="1" t="n">
        <v>44488</v>
      </c>
      <c r="C453" s="1" t="n">
        <v>45884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17051-2024</t>
        </is>
      </c>
      <c r="B454" s="1" t="n">
        <v>45412.44052083333</v>
      </c>
      <c r="C454" s="1" t="n">
        <v>45884</v>
      </c>
      <c r="D454" t="inlineStr">
        <is>
          <t>KALMAR LÄN</t>
        </is>
      </c>
      <c r="E454" t="inlineStr">
        <is>
          <t>OSKARSHAMN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8464-2025</t>
        </is>
      </c>
      <c r="B455" s="1" t="n">
        <v>45709.46929398148</v>
      </c>
      <c r="C455" s="1" t="n">
        <v>45884</v>
      </c>
      <c r="D455" t="inlineStr">
        <is>
          <t>KALMAR LÄN</t>
        </is>
      </c>
      <c r="E455" t="inlineStr">
        <is>
          <t>OSKARSHAMN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30952-2023</t>
        </is>
      </c>
      <c r="B456" s="1" t="n">
        <v>45113</v>
      </c>
      <c r="C456" s="1" t="n">
        <v>45884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7672-2024</t>
        </is>
      </c>
      <c r="B457" s="1" t="n">
        <v>45348.83976851852</v>
      </c>
      <c r="C457" s="1" t="n">
        <v>45884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16215-2023</t>
        </is>
      </c>
      <c r="B458" s="1" t="n">
        <v>45028.37586805555</v>
      </c>
      <c r="C458" s="1" t="n">
        <v>45884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16792-2025</t>
        </is>
      </c>
      <c r="B459" s="1" t="n">
        <v>45754</v>
      </c>
      <c r="C459" s="1" t="n">
        <v>45884</v>
      </c>
      <c r="D459" t="inlineStr">
        <is>
          <t>KALMAR LÄN</t>
        </is>
      </c>
      <c r="E459" t="inlineStr">
        <is>
          <t>OSKARSHAMN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16794-2025</t>
        </is>
      </c>
      <c r="B460" s="1" t="n">
        <v>45754</v>
      </c>
      <c r="C460" s="1" t="n">
        <v>45884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14129-2025</t>
        </is>
      </c>
      <c r="B461" s="1" t="n">
        <v>45740</v>
      </c>
      <c r="C461" s="1" t="n">
        <v>45884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31957-2023</t>
        </is>
      </c>
      <c r="B462" s="1" t="n">
        <v>45119.38265046296</v>
      </c>
      <c r="C462" s="1" t="n">
        <v>45884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26208-2024</t>
        </is>
      </c>
      <c r="B463" s="1" t="n">
        <v>45468.59137731481</v>
      </c>
      <c r="C463" s="1" t="n">
        <v>45884</v>
      </c>
      <c r="D463" t="inlineStr">
        <is>
          <t>KALMAR LÄN</t>
        </is>
      </c>
      <c r="E463" t="inlineStr">
        <is>
          <t>OSKARSHAMN</t>
        </is>
      </c>
      <c r="F463" t="inlineStr">
        <is>
          <t>Kommuner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26555-2024</t>
        </is>
      </c>
      <c r="B464" s="1" t="n">
        <v>45469.6294212963</v>
      </c>
      <c r="C464" s="1" t="n">
        <v>45884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26549-2024</t>
        </is>
      </c>
      <c r="B465" s="1" t="n">
        <v>45469.6204050926</v>
      </c>
      <c r="C465" s="1" t="n">
        <v>45884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45893-2024</t>
        </is>
      </c>
      <c r="B466" s="1" t="n">
        <v>45580.42582175926</v>
      </c>
      <c r="C466" s="1" t="n">
        <v>45884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62403-2023</t>
        </is>
      </c>
      <c r="B467" s="1" t="n">
        <v>45268.36550925926</v>
      </c>
      <c r="C467" s="1" t="n">
        <v>45884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5201-2025</t>
        </is>
      </c>
      <c r="B468" s="1" t="n">
        <v>45691</v>
      </c>
      <c r="C468" s="1" t="n">
        <v>45884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18349-2023</t>
        </is>
      </c>
      <c r="B469" s="1" t="n">
        <v>45041.69135416667</v>
      </c>
      <c r="C469" s="1" t="n">
        <v>45884</v>
      </c>
      <c r="D469" t="inlineStr">
        <is>
          <t>KALMAR LÄN</t>
        </is>
      </c>
      <c r="E469" t="inlineStr">
        <is>
          <t>OSKARSHAMN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21365-2025</t>
        </is>
      </c>
      <c r="B470" s="1" t="n">
        <v>45782.44434027778</v>
      </c>
      <c r="C470" s="1" t="n">
        <v>45884</v>
      </c>
      <c r="D470" t="inlineStr">
        <is>
          <t>KALMAR LÄN</t>
        </is>
      </c>
      <c r="E470" t="inlineStr">
        <is>
          <t>OSKARSHAMN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14727-2025</t>
        </is>
      </c>
      <c r="B471" s="1" t="n">
        <v>45742</v>
      </c>
      <c r="C471" s="1" t="n">
        <v>45884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43548-2022</t>
        </is>
      </c>
      <c r="B472" s="1" t="n">
        <v>44837.43305555556</v>
      </c>
      <c r="C472" s="1" t="n">
        <v>45884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10462-2023</t>
        </is>
      </c>
      <c r="B473" s="1" t="n">
        <v>44987</v>
      </c>
      <c r="C473" s="1" t="n">
        <v>45884</v>
      </c>
      <c r="D473" t="inlineStr">
        <is>
          <t>KALMAR LÄN</t>
        </is>
      </c>
      <c r="E473" t="inlineStr">
        <is>
          <t>OSKARSHAMN</t>
        </is>
      </c>
      <c r="F473" t="inlineStr">
        <is>
          <t>Kommuner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21383-2025</t>
        </is>
      </c>
      <c r="B474" s="1" t="n">
        <v>45782.46638888889</v>
      </c>
      <c r="C474" s="1" t="n">
        <v>45884</v>
      </c>
      <c r="D474" t="inlineStr">
        <is>
          <t>KALMAR LÄN</t>
        </is>
      </c>
      <c r="E474" t="inlineStr">
        <is>
          <t>OSKARSHAMN</t>
        </is>
      </c>
      <c r="F474" t="inlineStr">
        <is>
          <t>Kyrkan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10102-2022</t>
        </is>
      </c>
      <c r="B475" s="1" t="n">
        <v>44621</v>
      </c>
      <c r="C475" s="1" t="n">
        <v>45884</v>
      </c>
      <c r="D475" t="inlineStr">
        <is>
          <t>KALMAR LÄN</t>
        </is>
      </c>
      <c r="E475" t="inlineStr">
        <is>
          <t>OSKARSHAMN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3601-2024</t>
        </is>
      </c>
      <c r="B476" s="1" t="n">
        <v>45320</v>
      </c>
      <c r="C476" s="1" t="n">
        <v>45884</v>
      </c>
      <c r="D476" t="inlineStr">
        <is>
          <t>KALMAR LÄN</t>
        </is>
      </c>
      <c r="E476" t="inlineStr">
        <is>
          <t>OSKARSHAMN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61862-2022</t>
        </is>
      </c>
      <c r="B477" s="1" t="n">
        <v>44917</v>
      </c>
      <c r="C477" s="1" t="n">
        <v>45884</v>
      </c>
      <c r="D477" t="inlineStr">
        <is>
          <t>KALMAR LÄN</t>
        </is>
      </c>
      <c r="E477" t="inlineStr">
        <is>
          <t>OSKARSHAMN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19824-2024</t>
        </is>
      </c>
      <c r="B478" s="1" t="n">
        <v>45433</v>
      </c>
      <c r="C478" s="1" t="n">
        <v>45884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22801-2024</t>
        </is>
      </c>
      <c r="B479" s="1" t="n">
        <v>45448.51262731481</v>
      </c>
      <c r="C479" s="1" t="n">
        <v>45884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11471-2024</t>
        </is>
      </c>
      <c r="B480" s="1" t="n">
        <v>45372</v>
      </c>
      <c r="C480" s="1" t="n">
        <v>45884</v>
      </c>
      <c r="D480" t="inlineStr">
        <is>
          <t>KALMAR LÄN</t>
        </is>
      </c>
      <c r="E480" t="inlineStr">
        <is>
          <t>OSKARSHAMN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72819-2021</t>
        </is>
      </c>
      <c r="B481" s="1" t="n">
        <v>44547</v>
      </c>
      <c r="C481" s="1" t="n">
        <v>45884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21938-2025</t>
        </is>
      </c>
      <c r="B482" s="1" t="n">
        <v>45784</v>
      </c>
      <c r="C482" s="1" t="n">
        <v>45884</v>
      </c>
      <c r="D482" t="inlineStr">
        <is>
          <t>KALMAR LÄN</t>
        </is>
      </c>
      <c r="E482" t="inlineStr">
        <is>
          <t>OSKARSHAMN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21942-2025</t>
        </is>
      </c>
      <c r="B483" s="1" t="n">
        <v>45784</v>
      </c>
      <c r="C483" s="1" t="n">
        <v>45884</v>
      </c>
      <c r="D483" t="inlineStr">
        <is>
          <t>KALMAR LÄN</t>
        </is>
      </c>
      <c r="E483" t="inlineStr">
        <is>
          <t>OSKARSHAMN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2906-2023</t>
        </is>
      </c>
      <c r="B484" s="1" t="n">
        <v>44945</v>
      </c>
      <c r="C484" s="1" t="n">
        <v>45884</v>
      </c>
      <c r="D484" t="inlineStr">
        <is>
          <t>KALMAR LÄN</t>
        </is>
      </c>
      <c r="E484" t="inlineStr">
        <is>
          <t>OSKARSHAMN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47946-2023</t>
        </is>
      </c>
      <c r="B485" s="1" t="n">
        <v>45204.56902777778</v>
      </c>
      <c r="C485" s="1" t="n">
        <v>45884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10404-2023</t>
        </is>
      </c>
      <c r="B486" s="1" t="n">
        <v>44987.48240740741</v>
      </c>
      <c r="C486" s="1" t="n">
        <v>45884</v>
      </c>
      <c r="D486" t="inlineStr">
        <is>
          <t>KALMAR LÄN</t>
        </is>
      </c>
      <c r="E486" t="inlineStr">
        <is>
          <t>OSKARSHAMN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21937-2025</t>
        </is>
      </c>
      <c r="B487" s="1" t="n">
        <v>45784</v>
      </c>
      <c r="C487" s="1" t="n">
        <v>45884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21941-2025</t>
        </is>
      </c>
      <c r="B488" s="1" t="n">
        <v>45784</v>
      </c>
      <c r="C488" s="1" t="n">
        <v>45884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49909-2022</t>
        </is>
      </c>
      <c r="B489" s="1" t="n">
        <v>44865</v>
      </c>
      <c r="C489" s="1" t="n">
        <v>45884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52265-2024</t>
        </is>
      </c>
      <c r="B490" s="1" t="n">
        <v>45608.65482638889</v>
      </c>
      <c r="C490" s="1" t="n">
        <v>45884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34828-2024</t>
        </is>
      </c>
      <c r="B491" s="1" t="n">
        <v>45526.77546296296</v>
      </c>
      <c r="C491" s="1" t="n">
        <v>45884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11858-2025</t>
        </is>
      </c>
      <c r="B492" s="1" t="n">
        <v>45728.39811342592</v>
      </c>
      <c r="C492" s="1" t="n">
        <v>45884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34533-2024</t>
        </is>
      </c>
      <c r="B493" s="1" t="n">
        <v>45525.70791666667</v>
      </c>
      <c r="C493" s="1" t="n">
        <v>45884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20334-2024</t>
        </is>
      </c>
      <c r="B494" s="1" t="n">
        <v>45435.42290509259</v>
      </c>
      <c r="C494" s="1" t="n">
        <v>45884</v>
      </c>
      <c r="D494" t="inlineStr">
        <is>
          <t>KALMAR LÄN</t>
        </is>
      </c>
      <c r="E494" t="inlineStr">
        <is>
          <t>OSKARSHAMN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54522-2023</t>
        </is>
      </c>
      <c r="B495" s="1" t="n">
        <v>45233</v>
      </c>
      <c r="C495" s="1" t="n">
        <v>45884</v>
      </c>
      <c r="D495" t="inlineStr">
        <is>
          <t>KALMAR LÄN</t>
        </is>
      </c>
      <c r="E495" t="inlineStr">
        <is>
          <t>OSKARSHAMN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53564-2023</t>
        </is>
      </c>
      <c r="B496" s="1" t="n">
        <v>45224</v>
      </c>
      <c r="C496" s="1" t="n">
        <v>45884</v>
      </c>
      <c r="D496" t="inlineStr">
        <is>
          <t>KALMAR LÄN</t>
        </is>
      </c>
      <c r="E496" t="inlineStr">
        <is>
          <t>OSKARSHAMN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27503-2024</t>
        </is>
      </c>
      <c r="B497" s="1" t="n">
        <v>45474.51827546296</v>
      </c>
      <c r="C497" s="1" t="n">
        <v>45884</v>
      </c>
      <c r="D497" t="inlineStr">
        <is>
          <t>KALMAR LÄN</t>
        </is>
      </c>
      <c r="E497" t="inlineStr">
        <is>
          <t>OSKARSHAMN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34086-2024</t>
        </is>
      </c>
      <c r="B498" s="1" t="n">
        <v>45523.6602662037</v>
      </c>
      <c r="C498" s="1" t="n">
        <v>45884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43934-2024</t>
        </is>
      </c>
      <c r="B499" s="1" t="n">
        <v>45572.45870370371</v>
      </c>
      <c r="C499" s="1" t="n">
        <v>45884</v>
      </c>
      <c r="D499" t="inlineStr">
        <is>
          <t>KALMAR LÄN</t>
        </is>
      </c>
      <c r="E499" t="inlineStr">
        <is>
          <t>OSKARSHAMN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51142-2024</t>
        </is>
      </c>
      <c r="B500" s="1" t="n">
        <v>45603.54962962963</v>
      </c>
      <c r="C500" s="1" t="n">
        <v>45884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10145-2022</t>
        </is>
      </c>
      <c r="B501" s="1" t="n">
        <v>44621.9492824074</v>
      </c>
      <c r="C501" s="1" t="n">
        <v>45884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8300-2025</t>
        </is>
      </c>
      <c r="B502" s="1" t="n">
        <v>45708.58996527778</v>
      </c>
      <c r="C502" s="1" t="n">
        <v>45884</v>
      </c>
      <c r="D502" t="inlineStr">
        <is>
          <t>KALMAR LÄN</t>
        </is>
      </c>
      <c r="E502" t="inlineStr">
        <is>
          <t>OSKARSHAMN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11735-2024</t>
        </is>
      </c>
      <c r="B503" s="1" t="n">
        <v>45373.70664351852</v>
      </c>
      <c r="C503" s="1" t="n">
        <v>45884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27906-2023</t>
        </is>
      </c>
      <c r="B504" s="1" t="n">
        <v>45098</v>
      </c>
      <c r="C504" s="1" t="n">
        <v>45884</v>
      </c>
      <c r="D504" t="inlineStr">
        <is>
          <t>KALMAR LÄN</t>
        </is>
      </c>
      <c r="E504" t="inlineStr">
        <is>
          <t>OSKARSHAMN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48536-2023</t>
        </is>
      </c>
      <c r="B505" s="1" t="n">
        <v>45208.3799537037</v>
      </c>
      <c r="C505" s="1" t="n">
        <v>45884</v>
      </c>
      <c r="D505" t="inlineStr">
        <is>
          <t>KALMAR LÄN</t>
        </is>
      </c>
      <c r="E505" t="inlineStr">
        <is>
          <t>OSKARSHAMN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9407-2023</t>
        </is>
      </c>
      <c r="B506" s="1" t="n">
        <v>44981.45752314815</v>
      </c>
      <c r="C506" s="1" t="n">
        <v>45884</v>
      </c>
      <c r="D506" t="inlineStr">
        <is>
          <t>KALMAR LÄN</t>
        </is>
      </c>
      <c r="E506" t="inlineStr">
        <is>
          <t>OSKARSHAMN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58375-2024</t>
        </is>
      </c>
      <c r="B507" s="1" t="n">
        <v>45632.75246527778</v>
      </c>
      <c r="C507" s="1" t="n">
        <v>45884</v>
      </c>
      <c r="D507" t="inlineStr">
        <is>
          <t>KALMAR LÄN</t>
        </is>
      </c>
      <c r="E507" t="inlineStr">
        <is>
          <t>OSKARSHAMN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5898-2025</t>
        </is>
      </c>
      <c r="B508" s="1" t="n">
        <v>45695.39277777778</v>
      </c>
      <c r="C508" s="1" t="n">
        <v>45884</v>
      </c>
      <c r="D508" t="inlineStr">
        <is>
          <t>KALMAR LÄN</t>
        </is>
      </c>
      <c r="E508" t="inlineStr">
        <is>
          <t>OSKARSHAMN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16788-2025</t>
        </is>
      </c>
      <c r="B509" s="1" t="n">
        <v>45754.60855324074</v>
      </c>
      <c r="C509" s="1" t="n">
        <v>45884</v>
      </c>
      <c r="D509" t="inlineStr">
        <is>
          <t>KALMAR LÄN</t>
        </is>
      </c>
      <c r="E509" t="inlineStr">
        <is>
          <t>OSKARSHAMN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17264-2025</t>
        </is>
      </c>
      <c r="B510" s="1" t="n">
        <v>45756.54372685185</v>
      </c>
      <c r="C510" s="1" t="n">
        <v>45884</v>
      </c>
      <c r="D510" t="inlineStr">
        <is>
          <t>KALMAR LÄN</t>
        </is>
      </c>
      <c r="E510" t="inlineStr">
        <is>
          <t>OSKARSHAMN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9253-2023</t>
        </is>
      </c>
      <c r="B511" s="1" t="n">
        <v>44980.57952546296</v>
      </c>
      <c r="C511" s="1" t="n">
        <v>45884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52703-2024</t>
        </is>
      </c>
      <c r="B512" s="1" t="n">
        <v>45610.41706018519</v>
      </c>
      <c r="C512" s="1" t="n">
        <v>45884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52728-2024</t>
        </is>
      </c>
      <c r="B513" s="1" t="n">
        <v>45610.45115740741</v>
      </c>
      <c r="C513" s="1" t="n">
        <v>45884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52730-2024</t>
        </is>
      </c>
      <c r="B514" s="1" t="n">
        <v>45610.45636574074</v>
      </c>
      <c r="C514" s="1" t="n">
        <v>45884</v>
      </c>
      <c r="D514" t="inlineStr">
        <is>
          <t>KALMAR LÄN</t>
        </is>
      </c>
      <c r="E514" t="inlineStr">
        <is>
          <t>OSKARSHAMN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52731-2024</t>
        </is>
      </c>
      <c r="B515" s="1" t="n">
        <v>45610.45759259259</v>
      </c>
      <c r="C515" s="1" t="n">
        <v>45884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11954-2023</t>
        </is>
      </c>
      <c r="B516" s="1" t="n">
        <v>44995.54377314815</v>
      </c>
      <c r="C516" s="1" t="n">
        <v>45884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11464-2022</t>
        </is>
      </c>
      <c r="B517" s="1" t="n">
        <v>44630</v>
      </c>
      <c r="C517" s="1" t="n">
        <v>45884</v>
      </c>
      <c r="D517" t="inlineStr">
        <is>
          <t>KALMAR LÄN</t>
        </is>
      </c>
      <c r="E517" t="inlineStr">
        <is>
          <t>OSKARSHAMN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7887-2023</t>
        </is>
      </c>
      <c r="B518" s="1" t="n">
        <v>44973</v>
      </c>
      <c r="C518" s="1" t="n">
        <v>45884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4097-2024</t>
        </is>
      </c>
      <c r="B519" s="1" t="n">
        <v>45323</v>
      </c>
      <c r="C519" s="1" t="n">
        <v>45884</v>
      </c>
      <c r="D519" t="inlineStr">
        <is>
          <t>KALMAR LÄN</t>
        </is>
      </c>
      <c r="E519" t="inlineStr">
        <is>
          <t>OSKARSHAMN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13012-2023</t>
        </is>
      </c>
      <c r="B520" s="1" t="n">
        <v>45002</v>
      </c>
      <c r="C520" s="1" t="n">
        <v>45884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13016-2023</t>
        </is>
      </c>
      <c r="B521" s="1" t="n">
        <v>45002</v>
      </c>
      <c r="C521" s="1" t="n">
        <v>45884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26560-2023</t>
        </is>
      </c>
      <c r="B522" s="1" t="n">
        <v>45092</v>
      </c>
      <c r="C522" s="1" t="n">
        <v>45884</v>
      </c>
      <c r="D522" t="inlineStr">
        <is>
          <t>KALMAR LÄN</t>
        </is>
      </c>
      <c r="E522" t="inlineStr">
        <is>
          <t>OSKARSHAMN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27486-2023</t>
        </is>
      </c>
      <c r="B523" s="1" t="n">
        <v>45097</v>
      </c>
      <c r="C523" s="1" t="n">
        <v>45884</v>
      </c>
      <c r="D523" t="inlineStr">
        <is>
          <t>KALMAR LÄN</t>
        </is>
      </c>
      <c r="E523" t="inlineStr">
        <is>
          <t>OSKARSHAMN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23570-2025</t>
        </is>
      </c>
      <c r="B524" s="1" t="n">
        <v>45792.60909722222</v>
      </c>
      <c r="C524" s="1" t="n">
        <v>45884</v>
      </c>
      <c r="D524" t="inlineStr">
        <is>
          <t>KALMAR LÄN</t>
        </is>
      </c>
      <c r="E524" t="inlineStr">
        <is>
          <t>OSKARSHAMN</t>
        </is>
      </c>
      <c r="F524" t="inlineStr">
        <is>
          <t>Kommuner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2097-2021</t>
        </is>
      </c>
      <c r="B525" s="1" t="n">
        <v>44211</v>
      </c>
      <c r="C525" s="1" t="n">
        <v>45884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14491-2023</t>
        </is>
      </c>
      <c r="B526" s="1" t="n">
        <v>45012.68758101852</v>
      </c>
      <c r="C526" s="1" t="n">
        <v>45884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23938-2025</t>
        </is>
      </c>
      <c r="B527" s="1" t="n">
        <v>45796.28685185185</v>
      </c>
      <c r="C527" s="1" t="n">
        <v>45884</v>
      </c>
      <c r="D527" t="inlineStr">
        <is>
          <t>KALMAR LÄN</t>
        </is>
      </c>
      <c r="E527" t="inlineStr">
        <is>
          <t>OSKARSHAMN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24281-2025</t>
        </is>
      </c>
      <c r="B528" s="1" t="n">
        <v>45797.45616898148</v>
      </c>
      <c r="C528" s="1" t="n">
        <v>45884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49889-2021</t>
        </is>
      </c>
      <c r="B529" s="1" t="n">
        <v>44455</v>
      </c>
      <c r="C529" s="1" t="n">
        <v>45884</v>
      </c>
      <c r="D529" t="inlineStr">
        <is>
          <t>KALMAR LÄN</t>
        </is>
      </c>
      <c r="E529" t="inlineStr">
        <is>
          <t>OSKARSHAMN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10725-2024</t>
        </is>
      </c>
      <c r="B530" s="1" t="n">
        <v>45369.47645833333</v>
      </c>
      <c r="C530" s="1" t="n">
        <v>45884</v>
      </c>
      <c r="D530" t="inlineStr">
        <is>
          <t>KALMAR LÄN</t>
        </is>
      </c>
      <c r="E530" t="inlineStr">
        <is>
          <t>OSKARSHAMN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11947-2023</t>
        </is>
      </c>
      <c r="B531" s="1" t="n">
        <v>44995.5321412037</v>
      </c>
      <c r="C531" s="1" t="n">
        <v>45884</v>
      </c>
      <c r="D531" t="inlineStr">
        <is>
          <t>KALMAR LÄN</t>
        </is>
      </c>
      <c r="E531" t="inlineStr">
        <is>
          <t>OSKARSHAMN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40255-2022</t>
        </is>
      </c>
      <c r="B532" s="1" t="n">
        <v>44820</v>
      </c>
      <c r="C532" s="1" t="n">
        <v>45884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47956-2023</t>
        </is>
      </c>
      <c r="B533" s="1" t="n">
        <v>45204</v>
      </c>
      <c r="C533" s="1" t="n">
        <v>45884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28120-2023</t>
        </is>
      </c>
      <c r="B534" s="1" t="n">
        <v>45099</v>
      </c>
      <c r="C534" s="1" t="n">
        <v>45884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61854-2022</t>
        </is>
      </c>
      <c r="B535" s="1" t="n">
        <v>44917</v>
      </c>
      <c r="C535" s="1" t="n">
        <v>45884</v>
      </c>
      <c r="D535" t="inlineStr">
        <is>
          <t>KALMAR LÄN</t>
        </is>
      </c>
      <c r="E535" t="inlineStr">
        <is>
          <t>OSKARSHAMN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24769-2025</t>
        </is>
      </c>
      <c r="B536" s="1" t="n">
        <v>45799.39888888889</v>
      </c>
      <c r="C536" s="1" t="n">
        <v>45884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34841-2024</t>
        </is>
      </c>
      <c r="B537" s="1" t="n">
        <v>45526.89289351852</v>
      </c>
      <c r="C537" s="1" t="n">
        <v>45884</v>
      </c>
      <c r="D537" t="inlineStr">
        <is>
          <t>KALMAR LÄN</t>
        </is>
      </c>
      <c r="E537" t="inlineStr">
        <is>
          <t>OSKARSHAMN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46613-2023</t>
        </is>
      </c>
      <c r="B538" s="1" t="n">
        <v>45198.40052083333</v>
      </c>
      <c r="C538" s="1" t="n">
        <v>45884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61318-2022</t>
        </is>
      </c>
      <c r="B539" s="1" t="n">
        <v>44915.65098379629</v>
      </c>
      <c r="C539" s="1" t="n">
        <v>45884</v>
      </c>
      <c r="D539" t="inlineStr">
        <is>
          <t>KALMAR LÄN</t>
        </is>
      </c>
      <c r="E539" t="inlineStr">
        <is>
          <t>OSKARSHAMN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35534-2024</t>
        </is>
      </c>
      <c r="B540" s="1" t="n">
        <v>45531</v>
      </c>
      <c r="C540" s="1" t="n">
        <v>45884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29021-2022</t>
        </is>
      </c>
      <c r="B541" s="1" t="n">
        <v>44749.77538194445</v>
      </c>
      <c r="C541" s="1" t="n">
        <v>45884</v>
      </c>
      <c r="D541" t="inlineStr">
        <is>
          <t>KALMAR LÄN</t>
        </is>
      </c>
      <c r="E541" t="inlineStr">
        <is>
          <t>OSKARSHAMN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10089-2022</t>
        </is>
      </c>
      <c r="B542" s="1" t="n">
        <v>44621.67178240741</v>
      </c>
      <c r="C542" s="1" t="n">
        <v>45884</v>
      </c>
      <c r="D542" t="inlineStr">
        <is>
          <t>KALMAR LÄN</t>
        </is>
      </c>
      <c r="E542" t="inlineStr">
        <is>
          <t>OSKARSHAMN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22889-2024</t>
        </is>
      </c>
      <c r="B543" s="1" t="n">
        <v>45448</v>
      </c>
      <c r="C543" s="1" t="n">
        <v>45884</v>
      </c>
      <c r="D543" t="inlineStr">
        <is>
          <t>KALMAR LÄN</t>
        </is>
      </c>
      <c r="E543" t="inlineStr">
        <is>
          <t>OSKARSHAMN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30218-2023</t>
        </is>
      </c>
      <c r="B544" s="1" t="n">
        <v>45110</v>
      </c>
      <c r="C544" s="1" t="n">
        <v>45884</v>
      </c>
      <c r="D544" t="inlineStr">
        <is>
          <t>KALMAR LÄN</t>
        </is>
      </c>
      <c r="E544" t="inlineStr">
        <is>
          <t>OSKARSHAMN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10728-2024</t>
        </is>
      </c>
      <c r="B545" s="1" t="n">
        <v>45369.47766203704</v>
      </c>
      <c r="C545" s="1" t="n">
        <v>45884</v>
      </c>
      <c r="D545" t="inlineStr">
        <is>
          <t>KALMAR LÄN</t>
        </is>
      </c>
      <c r="E545" t="inlineStr">
        <is>
          <t>OSKARSHAMN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23193-2023</t>
        </is>
      </c>
      <c r="B546" s="1" t="n">
        <v>45075.59990740741</v>
      </c>
      <c r="C546" s="1" t="n">
        <v>45884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23200-2023</t>
        </is>
      </c>
      <c r="B547" s="1" t="n">
        <v>45075</v>
      </c>
      <c r="C547" s="1" t="n">
        <v>45884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16558-2024</t>
        </is>
      </c>
      <c r="B548" s="1" t="n">
        <v>45408.45277777778</v>
      </c>
      <c r="C548" s="1" t="n">
        <v>45884</v>
      </c>
      <c r="D548" t="inlineStr">
        <is>
          <t>KALMAR LÄN</t>
        </is>
      </c>
      <c r="E548" t="inlineStr">
        <is>
          <t>OSKARSHAMN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29346-2024</t>
        </is>
      </c>
      <c r="B549" s="1" t="n">
        <v>45483.4747337963</v>
      </c>
      <c r="C549" s="1" t="n">
        <v>45884</v>
      </c>
      <c r="D549" t="inlineStr">
        <is>
          <t>KALMAR LÄN</t>
        </is>
      </c>
      <c r="E549" t="inlineStr">
        <is>
          <t>OSKARSHAMN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5899-2025</t>
        </is>
      </c>
      <c r="B550" s="1" t="n">
        <v>45695.39430555556</v>
      </c>
      <c r="C550" s="1" t="n">
        <v>45884</v>
      </c>
      <c r="D550" t="inlineStr">
        <is>
          <t>KALMAR LÄN</t>
        </is>
      </c>
      <c r="E550" t="inlineStr">
        <is>
          <t>OSKARSHAMN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5900-2025</t>
        </is>
      </c>
      <c r="B551" s="1" t="n">
        <v>45695.39592592593</v>
      </c>
      <c r="C551" s="1" t="n">
        <v>45884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9519-2021</t>
        </is>
      </c>
      <c r="B552" s="1" t="n">
        <v>44251</v>
      </c>
      <c r="C552" s="1" t="n">
        <v>45884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23562-2025</t>
        </is>
      </c>
      <c r="B553" s="1" t="n">
        <v>45792</v>
      </c>
      <c r="C553" s="1" t="n">
        <v>45884</v>
      </c>
      <c r="D553" t="inlineStr">
        <is>
          <t>KALMAR LÄN</t>
        </is>
      </c>
      <c r="E553" t="inlineStr">
        <is>
          <t>OSKARSHAMN</t>
        </is>
      </c>
      <c r="F553" t="inlineStr">
        <is>
          <t>Kyrkan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34658-2024</t>
        </is>
      </c>
      <c r="B554" s="1" t="n">
        <v>45526</v>
      </c>
      <c r="C554" s="1" t="n">
        <v>45884</v>
      </c>
      <c r="D554" t="inlineStr">
        <is>
          <t>KALMAR LÄN</t>
        </is>
      </c>
      <c r="E554" t="inlineStr">
        <is>
          <t>OSKARSHAMN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42831-2023</t>
        </is>
      </c>
      <c r="B555" s="1" t="n">
        <v>45182.380625</v>
      </c>
      <c r="C555" s="1" t="n">
        <v>45884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73404-2021</t>
        </is>
      </c>
      <c r="B556" s="1" t="n">
        <v>44551.46303240741</v>
      </c>
      <c r="C556" s="1" t="n">
        <v>45884</v>
      </c>
      <c r="D556" t="inlineStr">
        <is>
          <t>KALMAR LÄN</t>
        </is>
      </c>
      <c r="E556" t="inlineStr">
        <is>
          <t>OSKARSHAMN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62323-2023</t>
        </is>
      </c>
      <c r="B557" s="1" t="n">
        <v>45267.81482638889</v>
      </c>
      <c r="C557" s="1" t="n">
        <v>45884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62327-2023</t>
        </is>
      </c>
      <c r="B558" s="1" t="n">
        <v>45267.82079861111</v>
      </c>
      <c r="C558" s="1" t="n">
        <v>45884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54633-2024</t>
        </is>
      </c>
      <c r="B559" s="1" t="n">
        <v>45617.87163194444</v>
      </c>
      <c r="C559" s="1" t="n">
        <v>45884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30230-2023</t>
        </is>
      </c>
      <c r="B560" s="1" t="n">
        <v>45110</v>
      </c>
      <c r="C560" s="1" t="n">
        <v>45884</v>
      </c>
      <c r="D560" t="inlineStr">
        <is>
          <t>KALMAR LÄN</t>
        </is>
      </c>
      <c r="E560" t="inlineStr">
        <is>
          <t>OSKARSHAMN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63711-2021</t>
        </is>
      </c>
      <c r="B561" s="1" t="n">
        <v>44505</v>
      </c>
      <c r="C561" s="1" t="n">
        <v>45884</v>
      </c>
      <c r="D561" t="inlineStr">
        <is>
          <t>KALMAR LÄN</t>
        </is>
      </c>
      <c r="E561" t="inlineStr">
        <is>
          <t>OSKARSHAMN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43165-2024</t>
        </is>
      </c>
      <c r="B562" s="1" t="n">
        <v>45567.65388888889</v>
      </c>
      <c r="C562" s="1" t="n">
        <v>45884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72786-2021</t>
        </is>
      </c>
      <c r="B563" s="1" t="n">
        <v>44547.35026620371</v>
      </c>
      <c r="C563" s="1" t="n">
        <v>45884</v>
      </c>
      <c r="D563" t="inlineStr">
        <is>
          <t>KALMAR LÄN</t>
        </is>
      </c>
      <c r="E563" t="inlineStr">
        <is>
          <t>OSKARSHAMN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16186-2024</t>
        </is>
      </c>
      <c r="B564" s="1" t="n">
        <v>45406.66635416666</v>
      </c>
      <c r="C564" s="1" t="n">
        <v>45884</v>
      </c>
      <c r="D564" t="inlineStr">
        <is>
          <t>KALMAR LÄN</t>
        </is>
      </c>
      <c r="E564" t="inlineStr">
        <is>
          <t>OSKARSHAMN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16280-2024</t>
        </is>
      </c>
      <c r="B565" s="1" t="n">
        <v>45407.35842592592</v>
      </c>
      <c r="C565" s="1" t="n">
        <v>45884</v>
      </c>
      <c r="D565" t="inlineStr">
        <is>
          <t>KALMAR LÄN</t>
        </is>
      </c>
      <c r="E565" t="inlineStr">
        <is>
          <t>OSKARSHAMN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20417-2023</t>
        </is>
      </c>
      <c r="B566" s="1" t="n">
        <v>45056.65377314815</v>
      </c>
      <c r="C566" s="1" t="n">
        <v>45884</v>
      </c>
      <c r="D566" t="inlineStr">
        <is>
          <t>KALMAR LÄN</t>
        </is>
      </c>
      <c r="E566" t="inlineStr">
        <is>
          <t>OSKARSHAMN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26260-2025</t>
        </is>
      </c>
      <c r="B567" s="1" t="n">
        <v>45805.58600694445</v>
      </c>
      <c r="C567" s="1" t="n">
        <v>45884</v>
      </c>
      <c r="D567" t="inlineStr">
        <is>
          <t>KALMAR LÄN</t>
        </is>
      </c>
      <c r="E567" t="inlineStr">
        <is>
          <t>OSKARSHAMN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26127-2025</t>
        </is>
      </c>
      <c r="B568" s="1" t="n">
        <v>45805</v>
      </c>
      <c r="C568" s="1" t="n">
        <v>45884</v>
      </c>
      <c r="D568" t="inlineStr">
        <is>
          <t>KALMAR LÄN</t>
        </is>
      </c>
      <c r="E568" t="inlineStr">
        <is>
          <t>OSKARSHAMN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60717-2024</t>
        </is>
      </c>
      <c r="B569" s="1" t="n">
        <v>45644.52768518519</v>
      </c>
      <c r="C569" s="1" t="n">
        <v>45884</v>
      </c>
      <c r="D569" t="inlineStr">
        <is>
          <t>KALMAR LÄN</t>
        </is>
      </c>
      <c r="E569" t="inlineStr">
        <is>
          <t>OSKARSHAMN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25936-2023</t>
        </is>
      </c>
      <c r="B570" s="1" t="n">
        <v>45090.69114583333</v>
      </c>
      <c r="C570" s="1" t="n">
        <v>45884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49963-2023</t>
        </is>
      </c>
      <c r="B571" s="1" t="n">
        <v>45215</v>
      </c>
      <c r="C571" s="1" t="n">
        <v>45884</v>
      </c>
      <c r="D571" t="inlineStr">
        <is>
          <t>KALMAR LÄN</t>
        </is>
      </c>
      <c r="E571" t="inlineStr">
        <is>
          <t>OSKARSHAMN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19789-2024</t>
        </is>
      </c>
      <c r="B572" s="1" t="n">
        <v>45432.89364583333</v>
      </c>
      <c r="C572" s="1" t="n">
        <v>45884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29755-2022</t>
        </is>
      </c>
      <c r="B573" s="1" t="n">
        <v>44755.59465277778</v>
      </c>
      <c r="C573" s="1" t="n">
        <v>45884</v>
      </c>
      <c r="D573" t="inlineStr">
        <is>
          <t>KALMAR LÄN</t>
        </is>
      </c>
      <c r="E573" t="inlineStr">
        <is>
          <t>OSKARSHAMN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26996-2025</t>
        </is>
      </c>
      <c r="B574" s="1" t="n">
        <v>45811.54190972223</v>
      </c>
      <c r="C574" s="1" t="n">
        <v>45884</v>
      </c>
      <c r="D574" t="inlineStr">
        <is>
          <t>KALMAR LÄN</t>
        </is>
      </c>
      <c r="E574" t="inlineStr">
        <is>
          <t>OSKARSHAMN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50572-2024</t>
        </is>
      </c>
      <c r="B575" s="1" t="n">
        <v>45601.60582175926</v>
      </c>
      <c r="C575" s="1" t="n">
        <v>45884</v>
      </c>
      <c r="D575" t="inlineStr">
        <is>
          <t>KALMAR LÄN</t>
        </is>
      </c>
      <c r="E575" t="inlineStr">
        <is>
          <t>OSKARSHAMN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30942-2023</t>
        </is>
      </c>
      <c r="B576" s="1" t="n">
        <v>45113.45962962963</v>
      </c>
      <c r="C576" s="1" t="n">
        <v>45884</v>
      </c>
      <c r="D576" t="inlineStr">
        <is>
          <t>KALMAR LÄN</t>
        </is>
      </c>
      <c r="E576" t="inlineStr">
        <is>
          <t>OSKARSHAMN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26545-2021</t>
        </is>
      </c>
      <c r="B577" s="1" t="n">
        <v>44348.51484953704</v>
      </c>
      <c r="C577" s="1" t="n">
        <v>45884</v>
      </c>
      <c r="D577" t="inlineStr">
        <is>
          <t>KALMAR LÄN</t>
        </is>
      </c>
      <c r="E577" t="inlineStr">
        <is>
          <t>OSKARSHAMN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27075-2025</t>
        </is>
      </c>
      <c r="B578" s="1" t="n">
        <v>45811.64633101852</v>
      </c>
      <c r="C578" s="1" t="n">
        <v>45884</v>
      </c>
      <c r="D578" t="inlineStr">
        <is>
          <t>KALMAR LÄN</t>
        </is>
      </c>
      <c r="E578" t="inlineStr">
        <is>
          <t>OSKARSHAMN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56189-2023</t>
        </is>
      </c>
      <c r="B579" s="1" t="n">
        <v>45240.65537037037</v>
      </c>
      <c r="C579" s="1" t="n">
        <v>45884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4651-2025</t>
        </is>
      </c>
      <c r="B580" s="1" t="n">
        <v>45687.66491898148</v>
      </c>
      <c r="C580" s="1" t="n">
        <v>45884</v>
      </c>
      <c r="D580" t="inlineStr">
        <is>
          <t>KALMAR LÄN</t>
        </is>
      </c>
      <c r="E580" t="inlineStr">
        <is>
          <t>OSKARSHAMN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8550-2021</t>
        </is>
      </c>
      <c r="B581" s="1" t="n">
        <v>44245</v>
      </c>
      <c r="C581" s="1" t="n">
        <v>45884</v>
      </c>
      <c r="D581" t="inlineStr">
        <is>
          <t>KALMAR LÄN</t>
        </is>
      </c>
      <c r="E581" t="inlineStr">
        <is>
          <t>OSKARSHAMN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59710-2021</t>
        </is>
      </c>
      <c r="B582" s="1" t="n">
        <v>44494</v>
      </c>
      <c r="C582" s="1" t="n">
        <v>45884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53530-2022</t>
        </is>
      </c>
      <c r="B583" s="1" t="n">
        <v>44879</v>
      </c>
      <c r="C583" s="1" t="n">
        <v>45884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27188-2025</t>
        </is>
      </c>
      <c r="B584" s="1" t="n">
        <v>45812.36815972222</v>
      </c>
      <c r="C584" s="1" t="n">
        <v>45884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27189-2025</t>
        </is>
      </c>
      <c r="B585" s="1" t="n">
        <v>45812.36875</v>
      </c>
      <c r="C585" s="1" t="n">
        <v>45884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34827-2024</t>
        </is>
      </c>
      <c r="B586" s="1" t="n">
        <v>45526.77328703704</v>
      </c>
      <c r="C586" s="1" t="n">
        <v>45884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34830-2024</t>
        </is>
      </c>
      <c r="B587" s="1" t="n">
        <v>45526.77930555555</v>
      </c>
      <c r="C587" s="1" t="n">
        <v>45884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3830-2023</t>
        </is>
      </c>
      <c r="B588" s="1" t="n">
        <v>44951.6371412037</v>
      </c>
      <c r="C588" s="1" t="n">
        <v>45884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13204-2024</t>
        </is>
      </c>
      <c r="B589" s="1" t="n">
        <v>45386</v>
      </c>
      <c r="C589" s="1" t="n">
        <v>45884</v>
      </c>
      <c r="D589" t="inlineStr">
        <is>
          <t>KALMAR LÄN</t>
        </is>
      </c>
      <c r="E589" t="inlineStr">
        <is>
          <t>OSKARSHAMN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7671-2024</t>
        </is>
      </c>
      <c r="B590" s="1" t="n">
        <v>45348.83865740741</v>
      </c>
      <c r="C590" s="1" t="n">
        <v>45884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61122-2022</t>
        </is>
      </c>
      <c r="B591" s="1" t="n">
        <v>44908</v>
      </c>
      <c r="C591" s="1" t="n">
        <v>45884</v>
      </c>
      <c r="D591" t="inlineStr">
        <is>
          <t>KALMAR LÄN</t>
        </is>
      </c>
      <c r="E591" t="inlineStr">
        <is>
          <t>OSKARSHAMN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6815-2025</t>
        </is>
      </c>
      <c r="B592" s="1" t="n">
        <v>45700.69986111111</v>
      </c>
      <c r="C592" s="1" t="n">
        <v>45884</v>
      </c>
      <c r="D592" t="inlineStr">
        <is>
          <t>KALMAR LÄN</t>
        </is>
      </c>
      <c r="E592" t="inlineStr">
        <is>
          <t>OSKARSHAMN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28254-2025</t>
        </is>
      </c>
      <c r="B593" s="1" t="n">
        <v>45818.54527777778</v>
      </c>
      <c r="C593" s="1" t="n">
        <v>45884</v>
      </c>
      <c r="D593" t="inlineStr">
        <is>
          <t>KALMAR LÄN</t>
        </is>
      </c>
      <c r="E593" t="inlineStr">
        <is>
          <t>OSKARSHAMN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28340-2025</t>
        </is>
      </c>
      <c r="B594" s="1" t="n">
        <v>45818</v>
      </c>
      <c r="C594" s="1" t="n">
        <v>45884</v>
      </c>
      <c r="D594" t="inlineStr">
        <is>
          <t>KALMAR LÄN</t>
        </is>
      </c>
      <c r="E594" t="inlineStr">
        <is>
          <t>OSKARSHAMN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15407-2025</t>
        </is>
      </c>
      <c r="B595" s="1" t="n">
        <v>45747.44913194444</v>
      </c>
      <c r="C595" s="1" t="n">
        <v>45884</v>
      </c>
      <c r="D595" t="inlineStr">
        <is>
          <t>KALMAR LÄN</t>
        </is>
      </c>
      <c r="E595" t="inlineStr">
        <is>
          <t>OSKARSHAMN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29557-2025</t>
        </is>
      </c>
      <c r="B596" s="1" t="n">
        <v>45825.35740740741</v>
      </c>
      <c r="C596" s="1" t="n">
        <v>45884</v>
      </c>
      <c r="D596" t="inlineStr">
        <is>
          <t>KALMAR LÄN</t>
        </is>
      </c>
      <c r="E596" t="inlineStr">
        <is>
          <t>OSKARSHAMN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29571-2025</t>
        </is>
      </c>
      <c r="B597" s="1" t="n">
        <v>45825.36836805556</v>
      </c>
      <c r="C597" s="1" t="n">
        <v>45884</v>
      </c>
      <c r="D597" t="inlineStr">
        <is>
          <t>KALMAR LÄN</t>
        </is>
      </c>
      <c r="E597" t="inlineStr">
        <is>
          <t>OSKARSHAMN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29651-2025</t>
        </is>
      </c>
      <c r="B598" s="1" t="n">
        <v>45825.47642361111</v>
      </c>
      <c r="C598" s="1" t="n">
        <v>45884</v>
      </c>
      <c r="D598" t="inlineStr">
        <is>
          <t>KALMAR LÄN</t>
        </is>
      </c>
      <c r="E598" t="inlineStr">
        <is>
          <t>OSKARSHAMN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30194-2025</t>
        </is>
      </c>
      <c r="B599" s="1" t="n">
        <v>45827.35274305556</v>
      </c>
      <c r="C599" s="1" t="n">
        <v>45884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30518-2025</t>
        </is>
      </c>
      <c r="B600" s="1" t="n">
        <v>45831.33773148148</v>
      </c>
      <c r="C600" s="1" t="n">
        <v>45884</v>
      </c>
      <c r="D600" t="inlineStr">
        <is>
          <t>KALMAR LÄN</t>
        </is>
      </c>
      <c r="E600" t="inlineStr">
        <is>
          <t>OSKARSHAMN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36710-2025</t>
        </is>
      </c>
      <c r="B601" s="1" t="n">
        <v>45873.46613425926</v>
      </c>
      <c r="C601" s="1" t="n">
        <v>45884</v>
      </c>
      <c r="D601" t="inlineStr">
        <is>
          <t>KALMAR LÄN</t>
        </is>
      </c>
      <c r="E601" t="inlineStr">
        <is>
          <t>OSKARSHAMN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30528-2025</t>
        </is>
      </c>
      <c r="B602" s="1" t="n">
        <v>45831.36028935185</v>
      </c>
      <c r="C602" s="1" t="n">
        <v>45884</v>
      </c>
      <c r="D602" t="inlineStr">
        <is>
          <t>KALMAR LÄN</t>
        </is>
      </c>
      <c r="E602" t="inlineStr">
        <is>
          <t>OSKARSHAMN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26336-2025</t>
        </is>
      </c>
      <c r="B603" s="1" t="n">
        <v>45805.69674768519</v>
      </c>
      <c r="C603" s="1" t="n">
        <v>45884</v>
      </c>
      <c r="D603" t="inlineStr">
        <is>
          <t>KALMAR LÄN</t>
        </is>
      </c>
      <c r="E603" t="inlineStr">
        <is>
          <t>OSKARSHAMN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36699-2025</t>
        </is>
      </c>
      <c r="B604" s="1" t="n">
        <v>45873.44460648148</v>
      </c>
      <c r="C604" s="1" t="n">
        <v>45884</v>
      </c>
      <c r="D604" t="inlineStr">
        <is>
          <t>KALMAR LÄN</t>
        </is>
      </c>
      <c r="E604" t="inlineStr">
        <is>
          <t>OSKARSHAMN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36705-2025</t>
        </is>
      </c>
      <c r="B605" s="1" t="n">
        <v>45873.45185185185</v>
      </c>
      <c r="C605" s="1" t="n">
        <v>45884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30950-2025</t>
        </is>
      </c>
      <c r="B606" s="1" t="n">
        <v>45832.43137731482</v>
      </c>
      <c r="C606" s="1" t="n">
        <v>45884</v>
      </c>
      <c r="D606" t="inlineStr">
        <is>
          <t>KALMAR LÄN</t>
        </is>
      </c>
      <c r="E606" t="inlineStr">
        <is>
          <t>OSKARSHAMN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30978-2025</t>
        </is>
      </c>
      <c r="B607" s="1" t="n">
        <v>45832.46736111111</v>
      </c>
      <c r="C607" s="1" t="n">
        <v>45884</v>
      </c>
      <c r="D607" t="inlineStr">
        <is>
          <t>KALMAR LÄN</t>
        </is>
      </c>
      <c r="E607" t="inlineStr">
        <is>
          <t>OSKARSHAMN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30947-2025</t>
        </is>
      </c>
      <c r="B608" s="1" t="n">
        <v>45832.42618055556</v>
      </c>
      <c r="C608" s="1" t="n">
        <v>45884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30956-2025</t>
        </is>
      </c>
      <c r="B609" s="1" t="n">
        <v>45832.43704861111</v>
      </c>
      <c r="C609" s="1" t="n">
        <v>45884</v>
      </c>
      <c r="D609" t="inlineStr">
        <is>
          <t>KALMAR LÄN</t>
        </is>
      </c>
      <c r="E609" t="inlineStr">
        <is>
          <t>OSKARSHAMN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30966-2025</t>
        </is>
      </c>
      <c r="B610" s="1" t="n">
        <v>45832.45224537037</v>
      </c>
      <c r="C610" s="1" t="n">
        <v>45884</v>
      </c>
      <c r="D610" t="inlineStr">
        <is>
          <t>KALMAR LÄN</t>
        </is>
      </c>
      <c r="E610" t="inlineStr">
        <is>
          <t>OSKARSHAMN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31429-2025</t>
        </is>
      </c>
      <c r="B611" s="1" t="n">
        <v>45833.49329861111</v>
      </c>
      <c r="C611" s="1" t="n">
        <v>45884</v>
      </c>
      <c r="D611" t="inlineStr">
        <is>
          <t>KALMAR LÄN</t>
        </is>
      </c>
      <c r="E611" t="inlineStr">
        <is>
          <t>OSKARSHAMN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31075-2025</t>
        </is>
      </c>
      <c r="B612" s="1" t="n">
        <v>45832.58109953703</v>
      </c>
      <c r="C612" s="1" t="n">
        <v>45884</v>
      </c>
      <c r="D612" t="inlineStr">
        <is>
          <t>KALMAR LÄN</t>
        </is>
      </c>
      <c r="E612" t="inlineStr">
        <is>
          <t>OSKARSHAMN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30963-2025</t>
        </is>
      </c>
      <c r="B613" s="1" t="n">
        <v>45832.45052083334</v>
      </c>
      <c r="C613" s="1" t="n">
        <v>45884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31081-2025</t>
        </is>
      </c>
      <c r="B614" s="1" t="n">
        <v>45832.58603009259</v>
      </c>
      <c r="C614" s="1" t="n">
        <v>45884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36932-2025</t>
        </is>
      </c>
      <c r="B615" s="1" t="n">
        <v>45874.56361111111</v>
      </c>
      <c r="C615" s="1" t="n">
        <v>45884</v>
      </c>
      <c r="D615" t="inlineStr">
        <is>
          <t>KALMAR LÄN</t>
        </is>
      </c>
      <c r="E615" t="inlineStr">
        <is>
          <t>OSKARSHAMN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31502-2025</t>
        </is>
      </c>
      <c r="B616" s="1" t="n">
        <v>45833.59315972222</v>
      </c>
      <c r="C616" s="1" t="n">
        <v>45884</v>
      </c>
      <c r="D616" t="inlineStr">
        <is>
          <t>KALMAR LÄN</t>
        </is>
      </c>
      <c r="E616" t="inlineStr">
        <is>
          <t>OSKARSHAMN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23641-2025</t>
        </is>
      </c>
      <c r="B617" s="1" t="n">
        <v>45792.68268518519</v>
      </c>
      <c r="C617" s="1" t="n">
        <v>45884</v>
      </c>
      <c r="D617" t="inlineStr">
        <is>
          <t>KALMAR LÄN</t>
        </is>
      </c>
      <c r="E617" t="inlineStr">
        <is>
          <t>OSKARSHAMN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5100-2025</t>
        </is>
      </c>
      <c r="B618" s="1" t="n">
        <v>45691.53809027778</v>
      </c>
      <c r="C618" s="1" t="n">
        <v>45884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31894-2025</t>
        </is>
      </c>
      <c r="B619" s="1" t="n">
        <v>45834.67012731481</v>
      </c>
      <c r="C619" s="1" t="n">
        <v>45884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23622-2025</t>
        </is>
      </c>
      <c r="B620" s="1" t="n">
        <v>45792.67280092592</v>
      </c>
      <c r="C620" s="1" t="n">
        <v>45884</v>
      </c>
      <c r="D620" t="inlineStr">
        <is>
          <t>KALMAR LÄN</t>
        </is>
      </c>
      <c r="E620" t="inlineStr">
        <is>
          <t>OSKARSHAMN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23606-2025</t>
        </is>
      </c>
      <c r="B621" s="1" t="n">
        <v>45792.65657407408</v>
      </c>
      <c r="C621" s="1" t="n">
        <v>45884</v>
      </c>
      <c r="D621" t="inlineStr">
        <is>
          <t>KALMAR LÄN</t>
        </is>
      </c>
      <c r="E621" t="inlineStr">
        <is>
          <t>OSKARSHAMN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32564-2025</t>
        </is>
      </c>
      <c r="B622" s="1" t="n">
        <v>45838.57329861111</v>
      </c>
      <c r="C622" s="1" t="n">
        <v>45884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33113-2025</t>
        </is>
      </c>
      <c r="B623" s="1" t="n">
        <v>45840.48972222222</v>
      </c>
      <c r="C623" s="1" t="n">
        <v>45884</v>
      </c>
      <c r="D623" t="inlineStr">
        <is>
          <t>KALMAR LÄN</t>
        </is>
      </c>
      <c r="E623" t="inlineStr">
        <is>
          <t>OSKARSHAMN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2025-08-15T08:27:06Z</dcterms:created>
  <dcterms:modified xmlns:dcterms="http://purl.org/dc/terms/" xmlns:xsi="http://www.w3.org/2001/XMLSchema-instance" xsi:type="dcterms:W3CDTF">2025-08-15T08:27:06Z</dcterms:modified>
</cp:coreProperties>
</file>