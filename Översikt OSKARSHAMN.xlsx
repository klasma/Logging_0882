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46319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46319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46319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46319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46319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46319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46319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46319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22297-2024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46319</v>
      </c>
      <c r="F19" t="inlineStr">
        <is>
          <t>KALMAR LÄN</t>
        </is>
      </c>
      <c r="G19" t="inlineStr">
        <is>
          <t>OSKARSHAMN</t>
        </is>
      </c>
      <c r="I19" t="n">
        <v>3.4</v>
      </c>
      <c r="J19" t="n">
        <v>1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1</v>
      </c>
      <c r="V19" s="2" t="inlineStr">
        <is>
          <t>Ekticka
Rosa skärelav
Blomskägglav
Guldlockmossa
Platt fjädermossa
Kopparödla</t>
        </is>
      </c>
      <c r="W19">
        <f>HYPERLINK("https://klasma.github.io/Logging_0882/artfynd/A 22297-2024 artfynd.xlsx", "A 22297-2024")</f>
        <v/>
      </c>
      <c r="X19">
        <f>HYPERLINK("https://klasma.github.io/Logging_0882/kartor/A 22297-2024 karta.png", "A 22297-2024")</f>
        <v/>
      </c>
      <c r="Y19">
        <f>HYPERLINK("https://klasma.github.io/Logging_0882/kartor_geotiff/A 22297-2024 georefererad karta.tif", "A 22297-2024")</f>
        <v/>
      </c>
      <c r="AA19">
        <f>HYPERLINK("https://klasma.github.io/Logging_0882/klagomål/A 22297-2024 FSC-klagomål.docx", "A 22297-2024")</f>
        <v/>
      </c>
      <c r="AB19">
        <f>HYPERLINK("https://klasma.github.io/Logging_0882/klagomålsmail/A 22297-2024 FSC-klagomål mail.docx", "A 22297-2024")</f>
        <v/>
      </c>
      <c r="AC19">
        <f>HYPERLINK("https://klasma.github.io/Logging_0882/tillsyn/A 22297-2024 tillsynsbegäran.docx", "A 22297-2024")</f>
        <v/>
      </c>
      <c r="AD19">
        <f>HYPERLINK("https://klasma.github.io/Logging_0882/tillsynsmail/A 22297-2024 tillsynsbegäran mail.docx", "A 22297-2024")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46319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46319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46319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t="n">
        <v>0</v>
      </c>
      <c r="V22" s="2" t="inlineStr">
        <is>
          <t>Talltita
Vedtrappmossa
Björksplintborre
Fällmossa
Blåsippa
Järpe</t>
        </is>
      </c>
      <c r="W22">
        <f>HYPERLINK("https://klasma.github.io/Logging_0882/artfynd/A 14044-2024 artfynd.xlsx", "A 14044-2024")</f>
        <v/>
      </c>
      <c r="X22">
        <f>HYPERLINK("https://klasma.github.io/Logging_0882/kartor/A 14044-2024 karta.png", "A 14044-2024")</f>
        <v/>
      </c>
      <c r="Y22">
        <f>HYPERLINK("https://klasma.github.io/Logging_0882/kartor_geotiff/A 14044-2024 georefererad karta.tif", "A 14044-2024")</f>
        <v/>
      </c>
      <c r="AA22">
        <f>HYPERLINK("https://klasma.github.io/Logging_0882/klagomål/A 14044-2024 FSC-klagomål.docx", "A 14044-2024")</f>
        <v/>
      </c>
      <c r="AB22">
        <f>HYPERLINK("https://klasma.github.io/Logging_0882/klagomålsmail/A 14044-2024 FSC-klagomål mail.docx", "A 14044-2024")</f>
        <v/>
      </c>
      <c r="AC22">
        <f>HYPERLINK("https://klasma.github.io/Logging_0882/tillsyn/A 14044-2024 tillsynsbegäran.docx", "A 14044-2024")</f>
        <v/>
      </c>
      <c r="AD22">
        <f>HYPERLINK("https://klasma.github.io/Logging_0882/tillsynsmail/A 14044-2024 tillsynsbegäran mail.docx", "A 14044-2024")</f>
        <v/>
      </c>
      <c r="AE22">
        <f>HYPERLINK("https://klasma.github.io/Logging_0882/fåglar/A 14044-2024 prioriterade fågelarter.docx", "A 14044-2024")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46319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46319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46319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46319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46319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46319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46319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46319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46319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18318-2026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46319</v>
      </c>
      <c r="F32" t="inlineStr">
        <is>
          <t>KALMAR LÄN</t>
        </is>
      </c>
      <c r="G32" t="inlineStr">
        <is>
          <t>OSKARSHAMN</t>
        </is>
      </c>
      <c r="I32" t="n">
        <v>4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Björksplintborre
Grönsiska
Revlummer</t>
        </is>
      </c>
      <c r="W32">
        <f>HYPERLINK("https://klasma.github.io/Logging_0882/artfynd/A 18318-2026 artfynd.xlsx", "A 18318-2026")</f>
        <v/>
      </c>
      <c r="X32">
        <f>HYPERLINK("https://klasma.github.io/Logging_0882/kartor/A 18318-2026 karta.png", "A 18318-2026")</f>
        <v/>
      </c>
      <c r="Y32">
        <f>HYPERLINK("https://klasma.github.io/Logging_0882/kartor_geotiff/A 18318-2026 georefererad karta.tif", "A 18318-2026")</f>
        <v/>
      </c>
      <c r="AA32">
        <f>HYPERLINK("https://klasma.github.io/Logging_0882/klagomål/A 18318-2026 FSC-klagomål.docx", "A 18318-2026")</f>
        <v/>
      </c>
      <c r="AB32">
        <f>HYPERLINK("https://klasma.github.io/Logging_0882/klagomålsmail/A 18318-2026 FSC-klagomål mail.docx", "A 18318-2026")</f>
        <v/>
      </c>
      <c r="AC32">
        <f>HYPERLINK("https://klasma.github.io/Logging_0882/tillsyn/A 18318-2026 tillsynsbegäran.docx", "A 18318-2026")</f>
        <v/>
      </c>
      <c r="AD32">
        <f>HYPERLINK("https://klasma.github.io/Logging_0882/tillsynsmail/A 18318-2026 tillsynsbegäran mail.docx", "A 18318-2026")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46319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46319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46319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46319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46319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46319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46319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46319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46319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46319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46319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46319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46319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46319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17193-2023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45034</v>
      </c>
      <c r="E47" s="1" t="n">
        <v>46319</v>
      </c>
      <c r="F47" t="inlineStr">
        <is>
          <t>KALMAR LÄN</t>
        </is>
      </c>
      <c r="G47" t="inlineStr">
        <is>
          <t>OSKARSHAMN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HYPERLINK("https://klasma.github.io/Logging_0882/artfynd/A 17193-2023 artfynd.xlsx", "A 17193-2023")</f>
        <v/>
      </c>
      <c r="X47">
        <f>HYPERLINK("https://klasma.github.io/Logging_0882/kartor/A 17193-2023 karta.png", "A 17193-2023")</f>
        <v/>
      </c>
      <c r="Y47">
        <f>HYPERLINK("https://klasma.github.io/Logging_0882/kartor_geotiff/A 17193-2023 georefererad karta.tif", "A 17193-2023")</f>
        <v/>
      </c>
      <c r="AA47">
        <f>HYPERLINK("https://klasma.github.io/Logging_0882/klagomål/A 17193-2023 FSC-klagomål.docx", "A 17193-2023")</f>
        <v/>
      </c>
      <c r="AB47">
        <f>HYPERLINK("https://klasma.github.io/Logging_0882/klagomålsmail/A 17193-2023 FSC-klagomål mail.docx", "A 17193-2023")</f>
        <v/>
      </c>
      <c r="AC47">
        <f>HYPERLINK("https://klasma.github.io/Logging_0882/tillsyn/A 17193-2023 tillsynsbegäran.docx", "A 17193-2023")</f>
        <v/>
      </c>
      <c r="AD47">
        <f>HYPERLINK("https://klasma.github.io/Logging_0882/tillsynsmail/A 17193-2023 tillsynsbegäran mail.docx", "A 17193-2023")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46319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46319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26730-2026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46319</v>
      </c>
      <c r="F50" t="inlineStr">
        <is>
          <t>KALMAR LÄN</t>
        </is>
      </c>
      <c r="G50" t="inlineStr">
        <is>
          <t>OSKARSHAMN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Mosippa</t>
        </is>
      </c>
      <c r="W50">
        <f>HYPERLINK("https://klasma.github.io/Logging_0882/artfynd/A 26730-2026 artfynd.xlsx", "A 26730-2026")</f>
        <v/>
      </c>
      <c r="X50">
        <f>HYPERLINK("https://klasma.github.io/Logging_0882/kartor/A 26730-2026 karta.png", "A 26730-2026")</f>
        <v/>
      </c>
      <c r="Y50">
        <f>HYPERLINK("https://klasma.github.io/Logging_0882/kartor_geotiff/A 26730-2026 georefererad karta.tif", "A 26730-2026")</f>
        <v/>
      </c>
      <c r="AA50">
        <f>HYPERLINK("https://klasma.github.io/Logging_0882/klagomål/A 26730-2026 FSC-klagomål.docx", "A 26730-2026")</f>
        <v/>
      </c>
      <c r="AB50">
        <f>HYPERLINK("https://klasma.github.io/Logging_0882/klagomålsmail/A 26730-2026 FSC-klagomål mail.docx", "A 26730-2026")</f>
        <v/>
      </c>
      <c r="AC50">
        <f>HYPERLINK("https://klasma.github.io/Logging_0882/tillsyn/A 26730-2026 tillsynsbegäran.docx", "A 26730-2026")</f>
        <v/>
      </c>
      <c r="AD50">
        <f>HYPERLINK("https://klasma.github.io/Logging_0882/tillsynsmail/A 26730-2026 tillsynsbegäran mail.docx", "A 26730-2026")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46319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46319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46319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46319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46319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41417-2026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46301</v>
      </c>
      <c r="E56" s="1" t="n">
        <v>46319</v>
      </c>
      <c r="F56" t="inlineStr">
        <is>
          <t>KALMAR LÄN</t>
        </is>
      </c>
      <c r="G56" t="inlineStr">
        <is>
          <t>OSKARSHAMN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HYPERLINK("https://klasma.github.io/Logging_0882/artfynd/A 41417-2026 artfynd.xlsx", "A 41417-2026")</f>
        <v/>
      </c>
      <c r="X56">
        <f>HYPERLINK("https://klasma.github.io/Logging_0882/kartor/A 41417-2026 karta.png", "A 41417-2026")</f>
        <v/>
      </c>
      <c r="Y56">
        <f>HYPERLINK("https://klasma.github.io/Logging_0882/kartor_geotiff/A 41417-2026 georefererad karta.tif", "A 41417-2026")</f>
        <v/>
      </c>
      <c r="AA56">
        <f>HYPERLINK("https://klasma.github.io/Logging_0882/klagomål/A 41417-2026 FSC-klagomål.docx", "A 41417-2026")</f>
        <v/>
      </c>
      <c r="AB56">
        <f>HYPERLINK("https://klasma.github.io/Logging_0882/klagomålsmail/A 41417-2026 FSC-klagomål mail.docx", "A 41417-2026")</f>
        <v/>
      </c>
      <c r="AC56">
        <f>HYPERLINK("https://klasma.github.io/Logging_0882/tillsyn/A 41417-2026 tillsynsbegäran.docx", "A 41417-2026")</f>
        <v/>
      </c>
      <c r="AD56">
        <f>HYPERLINK("https://klasma.github.io/Logging_0882/tillsynsmail/A 41417-2026 tillsynsbegäran mail.docx", "A 41417-2026")</f>
        <v/>
      </c>
      <c r="AE56">
        <f>HYPERLINK("https://klasma.github.io/Logging_0882/fåglar/A 41417-2026 prioriterade fågelarter.docx", "A 41417-2026")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46319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43537-2026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46315</v>
      </c>
      <c r="E58" s="1" t="n">
        <v>46319</v>
      </c>
      <c r="F58" t="inlineStr">
        <is>
          <t>KALMAR LÄN</t>
        </is>
      </c>
      <c r="G58" t="inlineStr">
        <is>
          <t>OSKARSHAMN</t>
        </is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HYPERLINK("https://klasma.github.io/Logging_0882/artfynd/A 43537-2026 artfynd.xlsx", "A 43537-2026")</f>
        <v/>
      </c>
      <c r="X58">
        <f>HYPERLINK("https://klasma.github.io/Logging_0882/kartor/A 43537-2026 karta.png", "A 43537-2026")</f>
        <v/>
      </c>
      <c r="Y58">
        <f>HYPERLINK("https://klasma.github.io/Logging_0882/kartor_geotiff/A 43537-2026 georefererad karta.tif", "A 43537-2026")</f>
        <v/>
      </c>
      <c r="AA58">
        <f>HYPERLINK("https://klasma.github.io/Logging_0882/klagomål/A 43537-2026 FSC-klagomål.docx", "A 43537-2026")</f>
        <v/>
      </c>
      <c r="AB58">
        <f>HYPERLINK("https://klasma.github.io/Logging_0882/klagomålsmail/A 43537-2026 FSC-klagomål mail.docx", "A 43537-2026")</f>
        <v/>
      </c>
      <c r="AC58">
        <f>HYPERLINK("https://klasma.github.io/Logging_0882/tillsyn/A 43537-2026 tillsynsbegäran.docx", "A 43537-2026")</f>
        <v/>
      </c>
      <c r="AD58">
        <f>HYPERLINK("https://klasma.github.io/Logging_0882/tillsynsmail/A 43537-2026 tillsynsbegäran mail.docx", "A 43537-2026")</f>
        <v/>
      </c>
      <c r="AE58">
        <f>HYPERLINK("https://klasma.github.io/Logging_0882/fåglar/A 43537-2026 prioriterade fågelarter.docx", "A 43537-2026")</f>
        <v/>
      </c>
    </row>
    <row r="59" ht="15" customHeight="1">
      <c r="A59" t="inlineStr">
        <is>
          <t>A 46276-2024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46319</v>
      </c>
      <c r="F59" t="inlineStr">
        <is>
          <t>KALMAR LÄN</t>
        </is>
      </c>
      <c r="G59" t="inlineStr">
        <is>
          <t>OSKARSHAMN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Blåsippa</t>
        </is>
      </c>
      <c r="W59">
        <f>HYPERLINK("https://klasma.github.io/Logging_0882/artfynd/A 46276-2024 artfynd.xlsx", "A 46276-2024")</f>
        <v/>
      </c>
      <c r="X59">
        <f>HYPERLINK("https://klasma.github.io/Logging_0882/kartor/A 46276-2024 karta.png", "A 46276-2024")</f>
        <v/>
      </c>
      <c r="Y59">
        <f>HYPERLINK("https://klasma.github.io/Logging_0882/kartor_geotiff/A 46276-2024 georefererad karta.tif", "A 46276-2024")</f>
        <v/>
      </c>
      <c r="AA59">
        <f>HYPERLINK("https://klasma.github.io/Logging_0882/klagomål/A 46276-2024 FSC-klagomål.docx", "A 46276-2024")</f>
        <v/>
      </c>
      <c r="AB59">
        <f>HYPERLINK("https://klasma.github.io/Logging_0882/klagomålsmail/A 46276-2024 FSC-klagomål mail.docx", "A 46276-2024")</f>
        <v/>
      </c>
      <c r="AC59">
        <f>HYPERLINK("https://klasma.github.io/Logging_0882/tillsyn/A 46276-2024 tillsynsbegäran.docx", "A 46276-2024")</f>
        <v/>
      </c>
      <c r="AD59">
        <f>HYPERLINK("https://klasma.github.io/Logging_0882/tillsynsmail/A 46276-2024 tillsynsbegäran mail.docx", "A 46276-2024")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46319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46319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27854-2023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46319</v>
      </c>
      <c r="F62" t="inlineStr">
        <is>
          <t>KALMAR LÄN</t>
        </is>
      </c>
      <c r="G62" t="inlineStr">
        <is>
          <t>OSKARSHAMN</t>
        </is>
      </c>
      <c r="I62" t="n">
        <v>3.3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Åkerkål</t>
        </is>
      </c>
      <c r="W62">
        <f>HYPERLINK("https://klasma.github.io/Logging_0882/artfynd/A 27854-2023 artfynd.xlsx", "A 27854-2023")</f>
        <v/>
      </c>
      <c r="X62">
        <f>HYPERLINK("https://klasma.github.io/Logging_0882/kartor/A 27854-2023 karta.png", "A 27854-2023")</f>
        <v/>
      </c>
      <c r="Y62">
        <f>HYPERLINK("https://klasma.github.io/Logging_0882/kartor_geotiff/A 27854-2023 georefererad karta.tif", "A 27854-2023")</f>
        <v/>
      </c>
      <c r="AA62">
        <f>HYPERLINK("https://klasma.github.io/Logging_0882/klagomål/A 27854-2023 FSC-klagomål.docx", "A 27854-2023")</f>
        <v/>
      </c>
      <c r="AB62">
        <f>HYPERLINK("https://klasma.github.io/Logging_0882/klagomålsmail/A 27854-2023 FSC-klagomål mail.docx", "A 27854-2023")</f>
        <v/>
      </c>
      <c r="AC62">
        <f>HYPERLINK("https://klasma.github.io/Logging_0882/tillsyn/A 27854-2023 tillsynsbegäran.docx", "A 27854-2023")</f>
        <v/>
      </c>
      <c r="AD62">
        <f>HYPERLINK("https://klasma.github.io/Logging_0882/tillsynsmail/A 27854-2023 tillsynsbegäran mail.docx", "A 27854-2023")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46319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46319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46319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46319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46319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46319</v>
      </c>
      <c r="F68" t="inlineStr">
        <is>
          <t>KALMAR LÄN</t>
        </is>
      </c>
      <c r="G68" t="inlineStr">
        <is>
          <t>OSKARSHAMN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46319</v>
      </c>
      <c r="F69" t="inlineStr">
        <is>
          <t>KALMAR LÄN</t>
        </is>
      </c>
      <c r="G69" t="inlineStr">
        <is>
          <t>OSKARSHAMN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46319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46319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46319</v>
      </c>
      <c r="F72" t="inlineStr">
        <is>
          <t>KALMAR LÄN</t>
        </is>
      </c>
      <c r="G72" t="inlineStr">
        <is>
          <t>OSKARSHAMN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46319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46319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46319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44855</v>
      </c>
      <c r="E76" s="1" t="n">
        <v>46319</v>
      </c>
      <c r="F76" t="inlineStr">
        <is>
          <t>KALMAR LÄN</t>
        </is>
      </c>
      <c r="G76" t="inlineStr">
        <is>
          <t>OSKARSHAMN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44761</v>
      </c>
      <c r="E77" s="1" t="n">
        <v>46319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46319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46319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46319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46319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46319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46319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46319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46319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46319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44704</v>
      </c>
      <c r="E87" s="1" t="n">
        <v>46319</v>
      </c>
      <c r="F87" t="inlineStr">
        <is>
          <t>KALMAR LÄN</t>
        </is>
      </c>
      <c r="G87" t="inlineStr">
        <is>
          <t>OSKARSHAMN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46319</v>
      </c>
      <c r="F88" t="inlineStr">
        <is>
          <t>KALMAR LÄN</t>
        </is>
      </c>
      <c r="G88" t="inlineStr">
        <is>
          <t>OSKARSHAMN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46319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46319</v>
      </c>
      <c r="F90" t="inlineStr">
        <is>
          <t>KALMAR LÄN</t>
        </is>
      </c>
      <c r="G90" t="inlineStr">
        <is>
          <t>OSKARSHAMN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46319</v>
      </c>
      <c r="F91" t="inlineStr">
        <is>
          <t>KALMAR LÄN</t>
        </is>
      </c>
      <c r="G91" t="inlineStr">
        <is>
          <t>OSKARSHAMN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46319</v>
      </c>
      <c r="F92" t="inlineStr">
        <is>
          <t>KALMAR LÄN</t>
        </is>
      </c>
      <c r="G92" t="inlineStr">
        <is>
          <t>OSKARSHAMN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46319</v>
      </c>
      <c r="F93" t="inlineStr">
        <is>
          <t>KALMAR LÄN</t>
        </is>
      </c>
      <c r="G93" t="inlineStr">
        <is>
          <t>OSKARSHAMN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46319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46319</v>
      </c>
      <c r="F95" t="inlineStr">
        <is>
          <t>KALMAR LÄN</t>
        </is>
      </c>
      <c r="G95" t="inlineStr">
        <is>
          <t>OSKARSHAMN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46319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44593</v>
      </c>
      <c r="E97" s="1" t="n">
        <v>46319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46319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46319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46319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46319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46319</v>
      </c>
      <c r="F102" t="inlineStr">
        <is>
          <t>KALMAR LÄN</t>
        </is>
      </c>
      <c r="G102" t="inlineStr">
        <is>
          <t>OSKARSHAMN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46319</v>
      </c>
      <c r="F103" t="inlineStr">
        <is>
          <t>KALMAR LÄN</t>
        </is>
      </c>
      <c r="G103" t="inlineStr">
        <is>
          <t>OSKARSHAMN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46319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46319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46319</v>
      </c>
      <c r="F106" t="inlineStr">
        <is>
          <t>KALMAR LÄN</t>
        </is>
      </c>
      <c r="G106" t="inlineStr">
        <is>
          <t>OSKARSHAMN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44862</v>
      </c>
      <c r="E107" s="1" t="n">
        <v>46319</v>
      </c>
      <c r="F107" t="inlineStr">
        <is>
          <t>KALMAR LÄN</t>
        </is>
      </c>
      <c r="G107" t="inlineStr">
        <is>
          <t>OSKARSHAMN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45784</v>
      </c>
      <c r="E108" s="1" t="n">
        <v>46319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46319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46319</v>
      </c>
      <c r="F110" t="inlineStr">
        <is>
          <t>KALMAR LÄN</t>
        </is>
      </c>
      <c r="G110" t="inlineStr">
        <is>
          <t>OSKARSHAMN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45691</v>
      </c>
      <c r="E111" s="1" t="n">
        <v>46319</v>
      </c>
      <c r="F111" t="inlineStr">
        <is>
          <t>KALMAR LÄN</t>
        </is>
      </c>
      <c r="G111" t="inlineStr">
        <is>
          <t>OSKARSHAMN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46319</v>
      </c>
      <c r="F112" t="inlineStr">
        <is>
          <t>KALMAR LÄN</t>
        </is>
      </c>
      <c r="G112" t="inlineStr">
        <is>
          <t>OSKARSHAMN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45196</v>
      </c>
      <c r="E113" s="1" t="n">
        <v>46319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46319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45405</v>
      </c>
      <c r="E115" s="1" t="n">
        <v>46319</v>
      </c>
      <c r="F115" t="inlineStr">
        <is>
          <t>KALMAR LÄN</t>
        </is>
      </c>
      <c r="G115" t="inlineStr">
        <is>
          <t>OSKARSHAMN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46319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46319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45105</v>
      </c>
      <c r="E118" s="1" t="n">
        <v>46319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46319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46319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46319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46319</v>
      </c>
      <c r="F122" t="inlineStr">
        <is>
          <t>KALMAR LÄN</t>
        </is>
      </c>
      <c r="G122" t="inlineStr">
        <is>
          <t>OSKARSHAMN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45056</v>
      </c>
      <c r="E123" s="1" t="n">
        <v>46319</v>
      </c>
      <c r="F123" t="inlineStr">
        <is>
          <t>KALMAR LÄN</t>
        </is>
      </c>
      <c r="G123" t="inlineStr">
        <is>
          <t>OSKARSHAMN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44995</v>
      </c>
      <c r="E124" s="1" t="n">
        <v>46319</v>
      </c>
      <c r="F124" t="inlineStr">
        <is>
          <t>KALMAR LÄN</t>
        </is>
      </c>
      <c r="G124" t="inlineStr">
        <is>
          <t>OSKARSHAMN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45523</v>
      </c>
      <c r="E125" s="1" t="n">
        <v>46319</v>
      </c>
      <c r="F125" t="inlineStr">
        <is>
          <t>KALMAR LÄN</t>
        </is>
      </c>
      <c r="G125" t="inlineStr">
        <is>
          <t>OSKARSHAMN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46319</v>
      </c>
      <c r="F126" t="inlineStr">
        <is>
          <t>KALMAR LÄN</t>
        </is>
      </c>
      <c r="G126" t="inlineStr">
        <is>
          <t>OSKARSHAMN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46319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10630-2022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46319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46319</v>
      </c>
      <c r="F129" t="inlineStr">
        <is>
          <t>KALMAR LÄN</t>
        </is>
      </c>
      <c r="G129" t="inlineStr">
        <is>
          <t>OSKARSHAMN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46319</v>
      </c>
      <c r="F130" t="inlineStr">
        <is>
          <t>KALMAR LÄN</t>
        </is>
      </c>
      <c r="G130" t="inlineStr">
        <is>
          <t>OSKARSHAMN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45407</v>
      </c>
      <c r="E131" s="1" t="n">
        <v>46319</v>
      </c>
      <c r="F131" t="inlineStr">
        <is>
          <t>KALMAR LÄN</t>
        </is>
      </c>
      <c r="G131" t="inlineStr">
        <is>
          <t>OSKARSHAMN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46319</v>
      </c>
      <c r="F132" t="inlineStr">
        <is>
          <t>KALMAR LÄN</t>
        </is>
      </c>
      <c r="G132" t="inlineStr">
        <is>
          <t>OSKARSHAMN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46319</v>
      </c>
      <c r="F133" t="inlineStr">
        <is>
          <t>KALMAR LÄN</t>
        </is>
      </c>
      <c r="G133" t="inlineStr">
        <is>
          <t>OSKARSHAMN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46319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42751-2025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45908</v>
      </c>
      <c r="E135" s="1" t="n">
        <v>46319</v>
      </c>
      <c r="F135" t="inlineStr">
        <is>
          <t>KALMAR LÄN</t>
        </is>
      </c>
      <c r="G135" t="inlineStr">
        <is>
          <t>OSKARSHAMN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46319</v>
      </c>
      <c r="F136" t="inlineStr">
        <is>
          <t>KALMAR LÄN</t>
        </is>
      </c>
      <c r="G136" t="inlineStr">
        <is>
          <t>OSKARSHAMN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46319</v>
      </c>
      <c r="F137" t="inlineStr">
        <is>
          <t>KALMAR LÄN</t>
        </is>
      </c>
      <c r="G137" t="inlineStr">
        <is>
          <t>OSKARSHAMN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42693-2025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45908</v>
      </c>
      <c r="E138" s="1" t="n">
        <v>46319</v>
      </c>
      <c r="F138" t="inlineStr">
        <is>
          <t>KALMAR LÄN</t>
        </is>
      </c>
      <c r="G138" t="inlineStr">
        <is>
          <t>OSKARSHAMN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46319</v>
      </c>
      <c r="F139" t="inlineStr">
        <is>
          <t>KALMAR LÄN</t>
        </is>
      </c>
      <c r="G139" t="inlineStr">
        <is>
          <t>OSKARSHAMN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46319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44820</v>
      </c>
      <c r="E141" s="1" t="n">
        <v>46319</v>
      </c>
      <c r="F141" t="inlineStr">
        <is>
          <t>KALMAR LÄN</t>
        </is>
      </c>
      <c r="G141" t="inlineStr">
        <is>
          <t>OSKARSHAMN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46319</v>
      </c>
      <c r="F142" t="inlineStr">
        <is>
          <t>KALMAR LÄN</t>
        </is>
      </c>
      <c r="G142" t="inlineStr">
        <is>
          <t>OSKARSHAMN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46319</v>
      </c>
      <c r="F143" t="inlineStr">
        <is>
          <t>KALMAR LÄN</t>
        </is>
      </c>
      <c r="G143" t="inlineStr">
        <is>
          <t>OSKARSHAMN</t>
        </is>
      </c>
      <c r="H143" t="inlineStr">
        <is>
          <t>Övriga Aktiebolag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46319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46319</v>
      </c>
      <c r="F145" t="inlineStr">
        <is>
          <t>KALMAR LÄN</t>
        </is>
      </c>
      <c r="G145" t="inlineStr">
        <is>
          <t>OSKARSHAMN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44621</v>
      </c>
      <c r="E146" s="1" t="n">
        <v>46319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46319</v>
      </c>
      <c r="F147" t="inlineStr">
        <is>
          <t>KALMAR LÄN</t>
        </is>
      </c>
      <c r="G147" t="inlineStr">
        <is>
          <t>OSKARSHAMN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46319</v>
      </c>
      <c r="F148" t="inlineStr">
        <is>
          <t>KALMAR LÄN</t>
        </is>
      </c>
      <c r="G148" t="inlineStr">
        <is>
          <t>OSKARSHAMN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46319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46319</v>
      </c>
      <c r="F150" t="inlineStr">
        <is>
          <t>KALMAR LÄN</t>
        </is>
      </c>
      <c r="G150" t="inlineStr">
        <is>
          <t>OSKARSHAMN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46319</v>
      </c>
      <c r="F151" t="inlineStr">
        <is>
          <t>KALMAR LÄN</t>
        </is>
      </c>
      <c r="G151" t="inlineStr">
        <is>
          <t>OSKARSHAMN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46319</v>
      </c>
      <c r="F152" t="inlineStr">
        <is>
          <t>KALMAR LÄN</t>
        </is>
      </c>
      <c r="G152" t="inlineStr">
        <is>
          <t>OSKARSHAMN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46319</v>
      </c>
      <c r="F153" t="inlineStr">
        <is>
          <t>KALMAR LÄN</t>
        </is>
      </c>
      <c r="G153" t="inlineStr">
        <is>
          <t>OSKARSHAMN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46319</v>
      </c>
      <c r="F154" t="inlineStr">
        <is>
          <t>KALMAR LÄN</t>
        </is>
      </c>
      <c r="G154" t="inlineStr">
        <is>
          <t>OSKARSHAMN</t>
        </is>
      </c>
      <c r="H154" t="inlineStr">
        <is>
          <t>Övriga Aktiebolag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46319</v>
      </c>
      <c r="F155" t="inlineStr">
        <is>
          <t>KALMAR LÄN</t>
        </is>
      </c>
      <c r="G155" t="inlineStr">
        <is>
          <t>OSKARSHAMN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46319</v>
      </c>
      <c r="F156" t="inlineStr">
        <is>
          <t>KALMAR LÄN</t>
        </is>
      </c>
      <c r="G156" t="inlineStr">
        <is>
          <t>OSKARSHAMN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46319</v>
      </c>
      <c r="F157" t="inlineStr">
        <is>
          <t>KALMAR LÄN</t>
        </is>
      </c>
      <c r="G157" t="inlineStr">
        <is>
          <t>OSKARSHAMN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46319</v>
      </c>
      <c r="F158" t="inlineStr">
        <is>
          <t>KALMAR LÄN</t>
        </is>
      </c>
      <c r="G158" t="inlineStr">
        <is>
          <t>OSKARSHAMN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46319</v>
      </c>
      <c r="F159" t="inlineStr">
        <is>
          <t>KALMAR LÄN</t>
        </is>
      </c>
      <c r="G159" t="inlineStr">
        <is>
          <t>OSKARSHAMN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46319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46319</v>
      </c>
      <c r="F161" t="inlineStr">
        <is>
          <t>KALMAR LÄN</t>
        </is>
      </c>
      <c r="G161" t="inlineStr">
        <is>
          <t>OSKARSHAMN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46319</v>
      </c>
      <c r="F162" t="inlineStr">
        <is>
          <t>KALMAR LÄN</t>
        </is>
      </c>
      <c r="G162" t="inlineStr">
        <is>
          <t>OSKARSHAMN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46319</v>
      </c>
      <c r="F163" t="inlineStr">
        <is>
          <t>KALMAR LÄN</t>
        </is>
      </c>
      <c r="G163" t="inlineStr">
        <is>
          <t>OSKARSHAMN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46319</v>
      </c>
      <c r="F164" t="inlineStr">
        <is>
          <t>KALMAR LÄN</t>
        </is>
      </c>
      <c r="G164" t="inlineStr">
        <is>
          <t>OSKARSHAMN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46319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46319</v>
      </c>
      <c r="F166" t="inlineStr">
        <is>
          <t>KALMAR LÄN</t>
        </is>
      </c>
      <c r="G166" t="inlineStr">
        <is>
          <t>OSKARSHAMN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46319</v>
      </c>
      <c r="F167" t="inlineStr">
        <is>
          <t>KALMAR LÄN</t>
        </is>
      </c>
      <c r="G167" t="inlineStr">
        <is>
          <t>OSKARSHAMN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46319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46319</v>
      </c>
      <c r="F169" t="inlineStr">
        <is>
          <t>KALMAR LÄN</t>
        </is>
      </c>
      <c r="G169" t="inlineStr">
        <is>
          <t>OSKARSHAMN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46319</v>
      </c>
      <c r="F170" t="inlineStr">
        <is>
          <t>KALMAR LÄN</t>
        </is>
      </c>
      <c r="G170" t="inlineStr">
        <is>
          <t>OSKARSHAMN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44980</v>
      </c>
      <c r="E171" s="1" t="n">
        <v>46319</v>
      </c>
      <c r="F171" t="inlineStr">
        <is>
          <t>KALMAR LÄN</t>
        </is>
      </c>
      <c r="G171" t="inlineStr">
        <is>
          <t>OSKARSHAMN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44620</v>
      </c>
      <c r="E172" s="1" t="n">
        <v>46319</v>
      </c>
      <c r="F172" t="inlineStr">
        <is>
          <t>KALMAR LÄN</t>
        </is>
      </c>
      <c r="G172" t="inlineStr">
        <is>
          <t>OSKARSHAMN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46319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46319</v>
      </c>
      <c r="F174" t="inlineStr">
        <is>
          <t>KALMAR LÄN</t>
        </is>
      </c>
      <c r="G174" t="inlineStr">
        <is>
          <t>OSKARSHAMN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46319</v>
      </c>
      <c r="F175" t="inlineStr">
        <is>
          <t>KALMAR LÄN</t>
        </is>
      </c>
      <c r="G175" t="inlineStr">
        <is>
          <t>OSKARSHAMN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46319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46319</v>
      </c>
      <c r="F177" t="inlineStr">
        <is>
          <t>KALMAR LÄN</t>
        </is>
      </c>
      <c r="G177" t="inlineStr">
        <is>
          <t>OSKARSHAMN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46319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46319</v>
      </c>
      <c r="F179" t="inlineStr">
        <is>
          <t>KALMAR LÄN</t>
        </is>
      </c>
      <c r="G179" t="inlineStr">
        <is>
          <t>OSKARSHAMN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45531</v>
      </c>
      <c r="E180" s="1" t="n">
        <v>46319</v>
      </c>
      <c r="F180" t="inlineStr">
        <is>
          <t>KALMAR LÄN</t>
        </is>
      </c>
      <c r="G180" t="inlineStr">
        <is>
          <t>OSKARSHAMN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46319</v>
      </c>
      <c r="F181" t="inlineStr">
        <is>
          <t>KALMAR LÄN</t>
        </is>
      </c>
      <c r="G181" t="inlineStr">
        <is>
          <t>OSKARSHAMN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46319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45621</v>
      </c>
      <c r="E183" s="1" t="n">
        <v>46319</v>
      </c>
      <c r="F183" t="inlineStr">
        <is>
          <t>KALMAR LÄN</t>
        </is>
      </c>
      <c r="G183" t="inlineStr">
        <is>
          <t>OSKARSHAMN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46319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46319</v>
      </c>
      <c r="F185" t="inlineStr">
        <is>
          <t>KALMAR LÄN</t>
        </is>
      </c>
      <c r="G185" t="inlineStr">
        <is>
          <t>OSKARSHAMN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46319</v>
      </c>
      <c r="F186" t="inlineStr">
        <is>
          <t>KALMAR LÄN</t>
        </is>
      </c>
      <c r="G186" t="inlineStr">
        <is>
          <t>OSKARSHAMN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45323</v>
      </c>
      <c r="E187" s="1" t="n">
        <v>46319</v>
      </c>
      <c r="F187" t="inlineStr">
        <is>
          <t>KALMAR LÄN</t>
        </is>
      </c>
      <c r="G187" t="inlineStr">
        <is>
          <t>OSKARSHAMN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46319</v>
      </c>
      <c r="F188" t="inlineStr">
        <is>
          <t>KALMAR LÄN</t>
        </is>
      </c>
      <c r="G188" t="inlineStr">
        <is>
          <t>OSKARSHAMN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46319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46319</v>
      </c>
      <c r="F190" t="inlineStr">
        <is>
          <t>KALMAR LÄN</t>
        </is>
      </c>
      <c r="G190" t="inlineStr">
        <is>
          <t>OSKARSHAMN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45944</v>
      </c>
      <c r="E191" s="1" t="n">
        <v>46319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46319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46319</v>
      </c>
      <c r="F193" t="inlineStr">
        <is>
          <t>KALMAR LÄN</t>
        </is>
      </c>
      <c r="G193" t="inlineStr">
        <is>
          <t>OSKARSHAMN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45019</v>
      </c>
      <c r="E194" s="1" t="n">
        <v>46319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46319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46319</v>
      </c>
      <c r="F196" t="inlineStr">
        <is>
          <t>KALMAR LÄN</t>
        </is>
      </c>
      <c r="G196" t="inlineStr">
        <is>
          <t>OSKARSHAMN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46319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46319</v>
      </c>
      <c r="F198" t="inlineStr">
        <is>
          <t>KALMAR LÄN</t>
        </is>
      </c>
      <c r="G198" t="inlineStr">
        <is>
          <t>OSKARSHAMN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45364</v>
      </c>
      <c r="E199" s="1" t="n">
        <v>46319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44977</v>
      </c>
      <c r="E200" s="1" t="n">
        <v>46319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46319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46319</v>
      </c>
      <c r="F202" t="inlineStr">
        <is>
          <t>KALMAR LÄN</t>
        </is>
      </c>
      <c r="G202" t="inlineStr">
        <is>
          <t>OSKARSHAMN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46319</v>
      </c>
      <c r="F203" t="inlineStr">
        <is>
          <t>KALMAR LÄN</t>
        </is>
      </c>
      <c r="G203" t="inlineStr">
        <is>
          <t>OSKARSHAMN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46319</v>
      </c>
      <c r="F204" t="inlineStr">
        <is>
          <t>KALMAR LÄN</t>
        </is>
      </c>
      <c r="G204" t="inlineStr">
        <is>
          <t>OSKARSHAMN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45218</v>
      </c>
      <c r="E205" s="1" t="n">
        <v>46319</v>
      </c>
      <c r="F205" t="inlineStr">
        <is>
          <t>KALMAR LÄN</t>
        </is>
      </c>
      <c r="G205" t="inlineStr">
        <is>
          <t>OSKARSHAMN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46319</v>
      </c>
      <c r="F206" t="inlineStr">
        <is>
          <t>KALMAR LÄN</t>
        </is>
      </c>
      <c r="G206" t="inlineStr">
        <is>
          <t>OSKARSHAMN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46319</v>
      </c>
      <c r="F207" t="inlineStr">
        <is>
          <t>KALMAR LÄN</t>
        </is>
      </c>
      <c r="G207" t="inlineStr">
        <is>
          <t>OSKARSHAMN</t>
        </is>
      </c>
      <c r="H207" t="inlineStr">
        <is>
          <t>Kommuner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44963</v>
      </c>
      <c r="E208" s="1" t="n">
        <v>46319</v>
      </c>
      <c r="F208" t="inlineStr">
        <is>
          <t>KALMAR LÄN</t>
        </is>
      </c>
      <c r="G208" t="inlineStr">
        <is>
          <t>OSKARSHAMN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46319</v>
      </c>
      <c r="F209" t="inlineStr">
        <is>
          <t>KALMAR LÄN</t>
        </is>
      </c>
      <c r="G209" t="inlineStr">
        <is>
          <t>OSKARSHAMN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46319</v>
      </c>
      <c r="F210" t="inlineStr">
        <is>
          <t>KALMAR LÄN</t>
        </is>
      </c>
      <c r="G210" t="inlineStr">
        <is>
          <t>OSKARSHAMN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46319</v>
      </c>
      <c r="F211" t="inlineStr">
        <is>
          <t>KALMAR LÄN</t>
        </is>
      </c>
      <c r="G211" t="inlineStr">
        <is>
          <t>OSKARSHAMN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46319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46319</v>
      </c>
      <c r="F213" t="inlineStr">
        <is>
          <t>KALMAR LÄN</t>
        </is>
      </c>
      <c r="G213" t="inlineStr">
        <is>
          <t>OSKARSHAMN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46319</v>
      </c>
      <c r="F214" t="inlineStr">
        <is>
          <t>KALMAR LÄN</t>
        </is>
      </c>
      <c r="G214" t="inlineStr">
        <is>
          <t>OSKARSHAMN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46319</v>
      </c>
      <c r="F215" t="inlineStr">
        <is>
          <t>KALMAR LÄN</t>
        </is>
      </c>
      <c r="G215" t="inlineStr">
        <is>
          <t>OSKARSHAMN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46319</v>
      </c>
      <c r="F216" t="inlineStr">
        <is>
          <t>KALMAR LÄN</t>
        </is>
      </c>
      <c r="G216" t="inlineStr">
        <is>
          <t>OSKARSHAMN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46319</v>
      </c>
      <c r="F217" t="inlineStr">
        <is>
          <t>KALMAR LÄN</t>
        </is>
      </c>
      <c r="G217" t="inlineStr">
        <is>
          <t>OSKARSHAMN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46319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46319</v>
      </c>
      <c r="F219" t="inlineStr">
        <is>
          <t>KALMAR LÄN</t>
        </is>
      </c>
      <c r="G219" t="inlineStr">
        <is>
          <t>OSKARSHAMN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46319</v>
      </c>
      <c r="F220" t="inlineStr">
        <is>
          <t>KALMAR LÄN</t>
        </is>
      </c>
      <c r="G220" t="inlineStr">
        <is>
          <t>OSKARSHAMN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46319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46319</v>
      </c>
      <c r="F222" t="inlineStr">
        <is>
          <t>KALMAR LÄN</t>
        </is>
      </c>
      <c r="G222" t="inlineStr">
        <is>
          <t>OSKARSHAMN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46319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46319</v>
      </c>
      <c r="F224" t="inlineStr">
        <is>
          <t>KALMAR LÄN</t>
        </is>
      </c>
      <c r="G224" t="inlineStr">
        <is>
          <t>OSKARSHAMN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44711</v>
      </c>
      <c r="E225" s="1" t="n">
        <v>46319</v>
      </c>
      <c r="F225" t="inlineStr">
        <is>
          <t>KALMAR LÄN</t>
        </is>
      </c>
      <c r="G225" t="inlineStr">
        <is>
          <t>OSKARSHAMN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46319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29619-2026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46199</v>
      </c>
      <c r="E227" s="1" t="n">
        <v>46319</v>
      </c>
      <c r="F227" t="inlineStr">
        <is>
          <t>KALMAR LÄN</t>
        </is>
      </c>
      <c r="G227" t="inlineStr">
        <is>
          <t>OSKARSHAMN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46319</v>
      </c>
      <c r="F228" t="inlineStr">
        <is>
          <t>KALMAR LÄN</t>
        </is>
      </c>
      <c r="G228" t="inlineStr">
        <is>
          <t>OSKARSHAMN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46319</v>
      </c>
      <c r="F229" t="inlineStr">
        <is>
          <t>KALMAR LÄN</t>
        </is>
      </c>
      <c r="G229" t="inlineStr">
        <is>
          <t>OSKARSHAMN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46319</v>
      </c>
      <c r="F230" t="inlineStr">
        <is>
          <t>KALMAR LÄN</t>
        </is>
      </c>
      <c r="G230" t="inlineStr">
        <is>
          <t>OSKARSHAMN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46319</v>
      </c>
      <c r="F231" t="inlineStr">
        <is>
          <t>KALMAR LÄN</t>
        </is>
      </c>
      <c r="G231" t="inlineStr">
        <is>
          <t>OSKARSHAMN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46199</v>
      </c>
      <c r="E232" s="1" t="n">
        <v>46319</v>
      </c>
      <c r="F232" t="inlineStr">
        <is>
          <t>KALMAR LÄN</t>
        </is>
      </c>
      <c r="G232" t="inlineStr">
        <is>
          <t>OSKARSHAMN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46319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46319</v>
      </c>
      <c r="F234" t="inlineStr">
        <is>
          <t>KALMAR LÄN</t>
        </is>
      </c>
      <c r="G234" t="inlineStr">
        <is>
          <t>OSKARSHAMN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46319</v>
      </c>
      <c r="F235" t="inlineStr">
        <is>
          <t>KALMAR LÄN</t>
        </is>
      </c>
      <c r="G235" t="inlineStr">
        <is>
          <t>OSKARSHAMN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46319</v>
      </c>
      <c r="F236" t="inlineStr">
        <is>
          <t>KALMAR LÄN</t>
        </is>
      </c>
      <c r="G236" t="inlineStr">
        <is>
          <t>OSKARSHAMN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46319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46319</v>
      </c>
      <c r="F238" t="inlineStr">
        <is>
          <t>KALMAR LÄN</t>
        </is>
      </c>
      <c r="G238" t="inlineStr">
        <is>
          <t>OSKARSHAMN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46319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46319</v>
      </c>
      <c r="F240" t="inlineStr">
        <is>
          <t>KALMAR LÄN</t>
        </is>
      </c>
      <c r="G240" t="inlineStr">
        <is>
          <t>OSKARSHAMN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46319</v>
      </c>
      <c r="F241" t="inlineStr">
        <is>
          <t>KALMAR LÄN</t>
        </is>
      </c>
      <c r="G241" t="inlineStr">
        <is>
          <t>OSKARSHAMN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46319</v>
      </c>
      <c r="F242" t="inlineStr">
        <is>
          <t>KALMAR LÄN</t>
        </is>
      </c>
      <c r="G242" t="inlineStr">
        <is>
          <t>OSKARSHAMN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46319</v>
      </c>
      <c r="F243" t="inlineStr">
        <is>
          <t>KALMAR LÄN</t>
        </is>
      </c>
      <c r="G243" t="inlineStr">
        <is>
          <t>OSKARSHAMN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46319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46319</v>
      </c>
      <c r="F245" t="inlineStr">
        <is>
          <t>KALMAR LÄN</t>
        </is>
      </c>
      <c r="G245" t="inlineStr">
        <is>
          <t>OSKARSHAMN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46319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46319</v>
      </c>
      <c r="F247" t="inlineStr">
        <is>
          <t>KALMAR LÄN</t>
        </is>
      </c>
      <c r="G247" t="inlineStr">
        <is>
          <t>OSKARSHAMN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46211</v>
      </c>
      <c r="E248" s="1" t="n">
        <v>46319</v>
      </c>
      <c r="F248" t="inlineStr">
        <is>
          <t>KALMAR LÄN</t>
        </is>
      </c>
      <c r="G248" t="inlineStr">
        <is>
          <t>OSKARSHAMN</t>
        </is>
      </c>
      <c r="I248" t="n">
        <v>13.6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46319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46319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46319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46319</v>
      </c>
      <c r="F252" t="inlineStr">
        <is>
          <t>KALMAR LÄN</t>
        </is>
      </c>
      <c r="G252" t="inlineStr">
        <is>
          <t>OSKARSHAMN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46319</v>
      </c>
      <c r="F253" t="inlineStr">
        <is>
          <t>KALMAR LÄN</t>
        </is>
      </c>
      <c r="G253" t="inlineStr">
        <is>
          <t>OSKARSHAMN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46319</v>
      </c>
      <c r="F254" t="inlineStr">
        <is>
          <t>KALMAR LÄN</t>
        </is>
      </c>
      <c r="G254" t="inlineStr">
        <is>
          <t>OSKARSHAMN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44963</v>
      </c>
      <c r="E255" s="1" t="n">
        <v>46319</v>
      </c>
      <c r="F255" t="inlineStr">
        <is>
          <t>KALMAR LÄN</t>
        </is>
      </c>
      <c r="G255" t="inlineStr">
        <is>
          <t>OSKARSHAMN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45323</v>
      </c>
      <c r="E256" s="1" t="n">
        <v>46319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46319</v>
      </c>
      <c r="F257" t="inlineStr">
        <is>
          <t>KALMAR LÄN</t>
        </is>
      </c>
      <c r="G257" t="inlineStr">
        <is>
          <t>OSKARSHAMN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46319</v>
      </c>
      <c r="F258" t="inlineStr">
        <is>
          <t>KALMAR LÄN</t>
        </is>
      </c>
      <c r="G258" t="inlineStr">
        <is>
          <t>OSKARSHAMN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46319</v>
      </c>
      <c r="F259" t="inlineStr">
        <is>
          <t>KALMAR LÄN</t>
        </is>
      </c>
      <c r="G259" t="inlineStr">
        <is>
          <t>OSKARSHAMN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46319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46319</v>
      </c>
      <c r="F261" t="inlineStr">
        <is>
          <t>KALMAR LÄN</t>
        </is>
      </c>
      <c r="G261" t="inlineStr">
        <is>
          <t>OSKARSHAMN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46319</v>
      </c>
      <c r="F262" t="inlineStr">
        <is>
          <t>KALMAR LÄN</t>
        </is>
      </c>
      <c r="G262" t="inlineStr">
        <is>
          <t>OSKARSHAMN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46319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46319</v>
      </c>
      <c r="F264" t="inlineStr">
        <is>
          <t>KALMAR LÄN</t>
        </is>
      </c>
      <c r="G264" t="inlineStr">
        <is>
          <t>OSKARSHAMN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46319</v>
      </c>
      <c r="F265" t="inlineStr">
        <is>
          <t>KALMAR LÄN</t>
        </is>
      </c>
      <c r="G265" t="inlineStr">
        <is>
          <t>OSKARSHAMN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46319</v>
      </c>
      <c r="F266" t="inlineStr">
        <is>
          <t>KALMAR LÄN</t>
        </is>
      </c>
      <c r="G266" t="inlineStr">
        <is>
          <t>OSKARSHAMN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14129-2025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45740</v>
      </c>
      <c r="E267" s="1" t="n">
        <v>46319</v>
      </c>
      <c r="F267" t="inlineStr">
        <is>
          <t>KALMAR LÄN</t>
        </is>
      </c>
      <c r="G267" t="inlineStr">
        <is>
          <t>OSKARSHAMN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46319</v>
      </c>
      <c r="F268" t="inlineStr">
        <is>
          <t>KALMAR LÄN</t>
        </is>
      </c>
      <c r="G268" t="inlineStr">
        <is>
          <t>OSKARSHAMN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46319</v>
      </c>
      <c r="F269" t="inlineStr">
        <is>
          <t>KALMAR LÄN</t>
        </is>
      </c>
      <c r="G269" t="inlineStr">
        <is>
          <t>OSKARSHAMN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45490</v>
      </c>
      <c r="E270" s="1" t="n">
        <v>46319</v>
      </c>
      <c r="F270" t="inlineStr">
        <is>
          <t>KALMAR LÄN</t>
        </is>
      </c>
      <c r="G270" t="inlineStr">
        <is>
          <t>OSKARSHAMN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46319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46319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46230</v>
      </c>
      <c r="E273" s="1" t="n">
        <v>46319</v>
      </c>
      <c r="F273" t="inlineStr">
        <is>
          <t>KALMAR LÄN</t>
        </is>
      </c>
      <c r="G273" t="inlineStr">
        <is>
          <t>OSKARSHAMN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45233</v>
      </c>
      <c r="E274" s="1" t="n">
        <v>46319</v>
      </c>
      <c r="F274" t="inlineStr">
        <is>
          <t>KALMAR LÄN</t>
        </is>
      </c>
      <c r="G274" t="inlineStr">
        <is>
          <t>OSKARSHAMN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46319</v>
      </c>
      <c r="F275" t="inlineStr">
        <is>
          <t>KALMAR LÄN</t>
        </is>
      </c>
      <c r="G275" t="inlineStr">
        <is>
          <t>OSKARSHAMN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45572</v>
      </c>
      <c r="E276" s="1" t="n">
        <v>46319</v>
      </c>
      <c r="F276" t="inlineStr">
        <is>
          <t>KALMAR LÄN</t>
        </is>
      </c>
      <c r="G276" t="inlineStr">
        <is>
          <t>OSKARSHAMN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46319</v>
      </c>
      <c r="F277" t="inlineStr">
        <is>
          <t>KALMAR LÄN</t>
        </is>
      </c>
      <c r="G277" t="inlineStr">
        <is>
          <t>OSKARSHAMN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46319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46319</v>
      </c>
      <c r="F279" t="inlineStr">
        <is>
          <t>KALMAR LÄN</t>
        </is>
      </c>
      <c r="G279" t="inlineStr">
        <is>
          <t>OSKARSHAMN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46319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46319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46319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46319</v>
      </c>
      <c r="F283" t="inlineStr">
        <is>
          <t>KALMAR LÄN</t>
        </is>
      </c>
      <c r="G283" t="inlineStr">
        <is>
          <t>OSKARSHAMN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45525</v>
      </c>
      <c r="E284" s="1" t="n">
        <v>46319</v>
      </c>
      <c r="F284" t="inlineStr">
        <is>
          <t>KALMAR LÄN</t>
        </is>
      </c>
      <c r="G284" t="inlineStr">
        <is>
          <t>OSKARSHAMN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46319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46319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46243</v>
      </c>
      <c r="E287" s="1" t="n">
        <v>46319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46243</v>
      </c>
      <c r="E288" s="1" t="n">
        <v>46319</v>
      </c>
      <c r="F288" t="inlineStr">
        <is>
          <t>KALMAR LÄN</t>
        </is>
      </c>
      <c r="G288" t="inlineStr">
        <is>
          <t>OSKARSHAMN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46319</v>
      </c>
      <c r="F289" t="inlineStr">
        <is>
          <t>KALMAR LÄN</t>
        </is>
      </c>
      <c r="G289" t="inlineStr">
        <is>
          <t>OSKARSHAMN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46319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46319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46319</v>
      </c>
      <c r="F292" t="inlineStr">
        <is>
          <t>KALMAR LÄN</t>
        </is>
      </c>
      <c r="G292" t="inlineStr">
        <is>
          <t>OSKARSHAMN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46288</v>
      </c>
      <c r="E293" s="1" t="n">
        <v>46319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46319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46319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28100-2026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46195</v>
      </c>
      <c r="E296" s="1" t="n">
        <v>46319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46319</v>
      </c>
      <c r="F297" t="inlineStr">
        <is>
          <t>KALMAR LÄN</t>
        </is>
      </c>
      <c r="G297" t="inlineStr">
        <is>
          <t>OSKARSHAMN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46319</v>
      </c>
      <c r="F298" t="inlineStr">
        <is>
          <t>KALMAR LÄN</t>
        </is>
      </c>
      <c r="G298" t="inlineStr">
        <is>
          <t>OSKARSHAMN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46319</v>
      </c>
      <c r="F299" t="inlineStr">
        <is>
          <t>KALMAR LÄN</t>
        </is>
      </c>
      <c r="G299" t="inlineStr">
        <is>
          <t>OSKARSHAMN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45526</v>
      </c>
      <c r="E300" s="1" t="n">
        <v>46319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46319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46319</v>
      </c>
      <c r="F302" t="inlineStr">
        <is>
          <t>KALMAR LÄN</t>
        </is>
      </c>
      <c r="G302" t="inlineStr">
        <is>
          <t>OSKARSHAMN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46319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46319</v>
      </c>
      <c r="F304" t="inlineStr">
        <is>
          <t>KALMAR LÄN</t>
        </is>
      </c>
      <c r="G304" t="inlineStr">
        <is>
          <t>OSKARSHAMN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26127-2025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45805</v>
      </c>
      <c r="E305" s="1" t="n">
        <v>46319</v>
      </c>
      <c r="F305" t="inlineStr">
        <is>
          <t>KALMAR LÄN</t>
        </is>
      </c>
      <c r="G305" t="inlineStr">
        <is>
          <t>OSKARSHAMN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62995-2025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46009</v>
      </c>
      <c r="E306" s="1" t="n">
        <v>46319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46319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46319</v>
      </c>
      <c r="F308" t="inlineStr">
        <is>
          <t>KALMAR LÄN</t>
        </is>
      </c>
      <c r="G308" t="inlineStr">
        <is>
          <t>OSKARSHAMN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46319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46319</v>
      </c>
      <c r="F310" t="inlineStr">
        <is>
          <t>KALMAR LÄN</t>
        </is>
      </c>
      <c r="G310" t="inlineStr">
        <is>
          <t>OSKARSHAMN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18978-2026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46128</v>
      </c>
      <c r="E311" s="1" t="n">
        <v>46319</v>
      </c>
      <c r="F311" t="inlineStr">
        <is>
          <t>KALMAR LÄN</t>
        </is>
      </c>
      <c r="G311" t="inlineStr">
        <is>
          <t>OSKARSHAMN</t>
        </is>
      </c>
      <c r="H311" t="inlineStr">
        <is>
          <t>Kommuner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46319</v>
      </c>
      <c r="F312" t="inlineStr">
        <is>
          <t>KALMAR LÄN</t>
        </is>
      </c>
      <c r="G312" t="inlineStr">
        <is>
          <t>OSKARSHAMN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46319</v>
      </c>
      <c r="F313" t="inlineStr">
        <is>
          <t>KALMAR LÄN</t>
        </is>
      </c>
      <c r="G313" t="inlineStr">
        <is>
          <t>OSKARSHAMN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46319</v>
      </c>
      <c r="F314" t="inlineStr">
        <is>
          <t>KALMAR LÄN</t>
        </is>
      </c>
      <c r="G314" t="inlineStr">
        <is>
          <t>OSKARSHAMN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46319</v>
      </c>
      <c r="F315" t="inlineStr">
        <is>
          <t>KALMAR LÄN</t>
        </is>
      </c>
      <c r="G315" t="inlineStr">
        <is>
          <t>OSKARSHAMN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46319</v>
      </c>
      <c r="F316" t="inlineStr">
        <is>
          <t>KALMAR LÄN</t>
        </is>
      </c>
      <c r="G316" t="inlineStr">
        <is>
          <t>OSKARSHAMN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46252</v>
      </c>
      <c r="E317" s="1" t="n">
        <v>46319</v>
      </c>
      <c r="F317" t="inlineStr">
        <is>
          <t>KALMAR LÄN</t>
        </is>
      </c>
      <c r="G317" t="inlineStr">
        <is>
          <t>OSKARSHAMN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46319</v>
      </c>
      <c r="F318" t="inlineStr">
        <is>
          <t>KALMAR LÄN</t>
        </is>
      </c>
      <c r="G318" t="inlineStr">
        <is>
          <t>OSKARSHAMN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46295</v>
      </c>
      <c r="E319" s="1" t="n">
        <v>46319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46319</v>
      </c>
      <c r="F320" t="inlineStr">
        <is>
          <t>KALMAR LÄN</t>
        </is>
      </c>
      <c r="G320" t="inlineStr">
        <is>
          <t>OSKARSHAMN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46319</v>
      </c>
      <c r="F321" t="inlineStr">
        <is>
          <t>KALMAR LÄN</t>
        </is>
      </c>
      <c r="G321" t="inlineStr">
        <is>
          <t>OSKARSHAMN</t>
        </is>
      </c>
      <c r="I321" t="n">
        <v>11.7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46319</v>
      </c>
      <c r="F322" t="inlineStr">
        <is>
          <t>KALMAR LÄN</t>
        </is>
      </c>
      <c r="G322" t="inlineStr">
        <is>
          <t>OSKARSHAMN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46319</v>
      </c>
      <c r="F323" t="inlineStr">
        <is>
          <t>KALMAR LÄN</t>
        </is>
      </c>
      <c r="G323" t="inlineStr">
        <is>
          <t>OSKARSHAMN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46319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45691</v>
      </c>
      <c r="E325" s="1" t="n">
        <v>46319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45490</v>
      </c>
      <c r="E326" s="1" t="n">
        <v>46319</v>
      </c>
      <c r="F326" t="inlineStr">
        <is>
          <t>KALMAR LÄN</t>
        </is>
      </c>
      <c r="G326" t="inlineStr">
        <is>
          <t>OSKARSHAMN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46319</v>
      </c>
      <c r="F327" t="inlineStr">
        <is>
          <t>KALMAR LÄN</t>
        </is>
      </c>
      <c r="G327" t="inlineStr">
        <is>
          <t>OSKARSHAMN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46319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46319</v>
      </c>
      <c r="F329" t="inlineStr">
        <is>
          <t>KALMAR LÄN</t>
        </is>
      </c>
      <c r="G329" t="inlineStr">
        <is>
          <t>OSKARSHAMN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45482</v>
      </c>
      <c r="E330" s="1" t="n">
        <v>46319</v>
      </c>
      <c r="F330" t="inlineStr">
        <is>
          <t>KALMAR LÄN</t>
        </is>
      </c>
      <c r="G330" t="inlineStr">
        <is>
          <t>OSKARSHAMN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44711</v>
      </c>
      <c r="E331" s="1" t="n">
        <v>46319</v>
      </c>
      <c r="F331" t="inlineStr">
        <is>
          <t>KALMAR LÄN</t>
        </is>
      </c>
      <c r="G331" t="inlineStr">
        <is>
          <t>OSKARSHAMN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46319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46319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45530</v>
      </c>
      <c r="E334" s="1" t="n">
        <v>46319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46319</v>
      </c>
      <c r="F335" t="inlineStr">
        <is>
          <t>KALMAR LÄN</t>
        </is>
      </c>
      <c r="G335" t="inlineStr">
        <is>
          <t>OSKARSHAMN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46319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46319</v>
      </c>
      <c r="F337" t="inlineStr">
        <is>
          <t>KALMAR LÄN</t>
        </is>
      </c>
      <c r="G337" t="inlineStr">
        <is>
          <t>OSKARSHAMN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46319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46319</v>
      </c>
      <c r="F339" t="inlineStr">
        <is>
          <t>KALMAR LÄN</t>
        </is>
      </c>
      <c r="G339" t="inlineStr">
        <is>
          <t>OSKARSHAMN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13204-2024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45386</v>
      </c>
      <c r="E340" s="1" t="n">
        <v>46319</v>
      </c>
      <c r="F340" t="inlineStr">
        <is>
          <t>KALMAR LÄN</t>
        </is>
      </c>
      <c r="G340" t="inlineStr">
        <is>
          <t>OSKARSHAMN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46319</v>
      </c>
      <c r="F341" t="inlineStr">
        <is>
          <t>KALMAR LÄN</t>
        </is>
      </c>
      <c r="G341" t="inlineStr">
        <is>
          <t>OSKARSHAMN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46319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46106</v>
      </c>
      <c r="E343" s="1" t="n">
        <v>46319</v>
      </c>
      <c r="F343" t="inlineStr">
        <is>
          <t>KALMAR LÄN</t>
        </is>
      </c>
      <c r="G343" t="inlineStr">
        <is>
          <t>OSKARSHAMN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46302</v>
      </c>
      <c r="E344" s="1" t="n">
        <v>46319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46319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46319</v>
      </c>
      <c r="F346" t="inlineStr">
        <is>
          <t>KALMAR LÄN</t>
        </is>
      </c>
      <c r="G346" t="inlineStr">
        <is>
          <t>OSKARSHAMN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45531</v>
      </c>
      <c r="E347" s="1" t="n">
        <v>46319</v>
      </c>
      <c r="F347" t="inlineStr">
        <is>
          <t>KALMAR LÄN</t>
        </is>
      </c>
      <c r="G347" t="inlineStr">
        <is>
          <t>OSKARSHAMN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46114</v>
      </c>
      <c r="E348" s="1" t="n">
        <v>46319</v>
      </c>
      <c r="F348" t="inlineStr">
        <is>
          <t>KALMAR LÄN</t>
        </is>
      </c>
      <c r="G348" t="inlineStr">
        <is>
          <t>OSKARSHAMN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46319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46319</v>
      </c>
      <c r="F350" t="inlineStr">
        <is>
          <t>KALMAR LÄN</t>
        </is>
      </c>
      <c r="G350" t="inlineStr">
        <is>
          <t>OSKARSHAMN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46319</v>
      </c>
      <c r="F351" t="inlineStr">
        <is>
          <t>KALMAR LÄN</t>
        </is>
      </c>
      <c r="G351" t="inlineStr">
        <is>
          <t>OSKARSHAMN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46319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46319</v>
      </c>
      <c r="F353" t="inlineStr">
        <is>
          <t>KALMAR LÄN</t>
        </is>
      </c>
      <c r="G353" t="inlineStr">
        <is>
          <t>OSKARSHAMN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45756</v>
      </c>
      <c r="E354" s="1" t="n">
        <v>46319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46265</v>
      </c>
      <c r="E355" s="1" t="n">
        <v>46319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44908</v>
      </c>
      <c r="E356" s="1" t="n">
        <v>46319</v>
      </c>
      <c r="F356" t="inlineStr">
        <is>
          <t>KALMAR LÄN</t>
        </is>
      </c>
      <c r="G356" t="inlineStr">
        <is>
          <t>OSKARSHAMN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46307</v>
      </c>
      <c r="E357" s="1" t="n">
        <v>46319</v>
      </c>
      <c r="F357" t="inlineStr">
        <is>
          <t>KALMAR LÄN</t>
        </is>
      </c>
      <c r="G357" t="inlineStr">
        <is>
          <t>OSKARSHAMN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46319</v>
      </c>
      <c r="F358" t="inlineStr">
        <is>
          <t>KALMAR LÄN</t>
        </is>
      </c>
      <c r="G358" t="inlineStr">
        <is>
          <t>OSKARSHAMN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46319</v>
      </c>
      <c r="F359" t="inlineStr">
        <is>
          <t>KALMAR LÄN</t>
        </is>
      </c>
      <c r="G359" t="inlineStr">
        <is>
          <t>OSKARSHAMN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46319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44914</v>
      </c>
      <c r="E361" s="1" t="n">
        <v>46319</v>
      </c>
      <c r="F361" t="inlineStr">
        <is>
          <t>KALMAR LÄN</t>
        </is>
      </c>
      <c r="G361" t="inlineStr">
        <is>
          <t>OSKARSHAMN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46319</v>
      </c>
      <c r="F362" t="inlineStr">
        <is>
          <t>KALMAR LÄN</t>
        </is>
      </c>
      <c r="G362" t="inlineStr">
        <is>
          <t>OSKARSHAMN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46319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46319</v>
      </c>
      <c r="F364" t="inlineStr">
        <is>
          <t>KALMAR LÄN</t>
        </is>
      </c>
      <c r="G364" t="inlineStr">
        <is>
          <t>OSKARSHAMN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46319</v>
      </c>
      <c r="F365" t="inlineStr">
        <is>
          <t>KALMAR LÄN</t>
        </is>
      </c>
      <c r="G365" t="inlineStr">
        <is>
          <t>OSKARSHAMN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44914</v>
      </c>
      <c r="E366" s="1" t="n">
        <v>46319</v>
      </c>
      <c r="F366" t="inlineStr">
        <is>
          <t>KALMAR LÄN</t>
        </is>
      </c>
      <c r="G366" t="inlineStr">
        <is>
          <t>OSKARSHAMN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46319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46319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46319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46319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62413-2025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46319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46319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71342-2021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46319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46319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45490</v>
      </c>
      <c r="E375" s="1" t="n">
        <v>46319</v>
      </c>
      <c r="F375" t="inlineStr">
        <is>
          <t>KALMAR LÄN</t>
        </is>
      </c>
      <c r="G375" t="inlineStr">
        <is>
          <t>OSKARSHAMN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46319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46319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46319</v>
      </c>
      <c r="F378" t="inlineStr">
        <is>
          <t>KALMAR LÄN</t>
        </is>
      </c>
      <c r="G378" t="inlineStr">
        <is>
          <t>OSKARSHAMN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46319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46319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46319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46319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45490</v>
      </c>
      <c r="E383" s="1" t="n">
        <v>46319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46319</v>
      </c>
      <c r="F384" t="inlineStr">
        <is>
          <t>KALMAR LÄN</t>
        </is>
      </c>
      <c r="G384" t="inlineStr">
        <is>
          <t>OSKARSHAMN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46319</v>
      </c>
      <c r="F385" t="inlineStr">
        <is>
          <t>KALMAR LÄN</t>
        </is>
      </c>
      <c r="G385" t="inlineStr">
        <is>
          <t>OSKARSHAMN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46319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46319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46319</v>
      </c>
      <c r="F388" t="inlineStr">
        <is>
          <t>KALMAR LÄN</t>
        </is>
      </c>
      <c r="G388" t="inlineStr">
        <is>
          <t>OSKARSHAMN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46147</v>
      </c>
      <c r="E389" s="1" t="n">
        <v>46319</v>
      </c>
      <c r="F389" t="inlineStr">
        <is>
          <t>KALMAR LÄN</t>
        </is>
      </c>
      <c r="G389" t="inlineStr">
        <is>
          <t>OSKARSHAMN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45884</v>
      </c>
      <c r="E390" s="1" t="n">
        <v>46319</v>
      </c>
      <c r="F390" t="inlineStr">
        <is>
          <t>KALMAR LÄN</t>
        </is>
      </c>
      <c r="G390" t="inlineStr">
        <is>
          <t>OSKARSHAMN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46314</v>
      </c>
      <c r="E391" s="1" t="n">
        <v>46319</v>
      </c>
      <c r="F391" t="inlineStr">
        <is>
          <t>KALMAR LÄN</t>
        </is>
      </c>
      <c r="G391" t="inlineStr">
        <is>
          <t>OSKARSHAMN</t>
        </is>
      </c>
      <c r="H391" t="inlineStr">
        <is>
          <t>Övriga Aktiebolag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44951</v>
      </c>
      <c r="E392" s="1" t="n">
        <v>46319</v>
      </c>
      <c r="F392" t="inlineStr">
        <is>
          <t>KALMAR LÄN</t>
        </is>
      </c>
      <c r="G392" t="inlineStr">
        <is>
          <t>OSKARSHAMN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46319</v>
      </c>
      <c r="F393" t="inlineStr">
        <is>
          <t>KALMAR LÄN</t>
        </is>
      </c>
      <c r="G393" t="inlineStr">
        <is>
          <t>OSKARSHAMN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45348</v>
      </c>
      <c r="E394" s="1" t="n">
        <v>46319</v>
      </c>
      <c r="F394" t="inlineStr">
        <is>
          <t>KALMAR LÄN</t>
        </is>
      </c>
      <c r="G394" t="inlineStr">
        <is>
          <t>OSKARSHAMN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46319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46319</v>
      </c>
      <c r="F396" t="inlineStr">
        <is>
          <t>KALMAR LÄN</t>
        </is>
      </c>
      <c r="G396" t="inlineStr">
        <is>
          <t>OSKARSHAMN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46319</v>
      </c>
      <c r="F397" t="inlineStr">
        <is>
          <t>KALMAR LÄN</t>
        </is>
      </c>
      <c r="G397" t="inlineStr">
        <is>
          <t>OSKARSHAMN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46319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44630</v>
      </c>
      <c r="E399" s="1" t="n">
        <v>46319</v>
      </c>
      <c r="F399" t="inlineStr">
        <is>
          <t>KALMAR LÄN</t>
        </is>
      </c>
      <c r="G399" t="inlineStr">
        <is>
          <t>OSKARSHAMN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20758-2026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46141</v>
      </c>
      <c r="E400" s="1" t="n">
        <v>46319</v>
      </c>
      <c r="F400" t="inlineStr">
        <is>
          <t>KALMAR LÄN</t>
        </is>
      </c>
      <c r="G400" t="inlineStr">
        <is>
          <t>OSKARSHAMN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46319</v>
      </c>
      <c r="F401" t="inlineStr">
        <is>
          <t>KALMAR LÄN</t>
        </is>
      </c>
      <c r="G401" t="inlineStr">
        <is>
          <t>OSKARSHAMN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46319</v>
      </c>
      <c r="F402" t="inlineStr">
        <is>
          <t>KALMAR LÄN</t>
        </is>
      </c>
      <c r="G402" t="inlineStr">
        <is>
          <t>OSKARSHAMN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45022</v>
      </c>
      <c r="E403" s="1" t="n">
        <v>46319</v>
      </c>
      <c r="F403" t="inlineStr">
        <is>
          <t>KALMAR LÄN</t>
        </is>
      </c>
      <c r="G403" t="inlineStr">
        <is>
          <t>OSKARSHAMN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46319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46319</v>
      </c>
      <c r="F405" t="inlineStr">
        <is>
          <t>KALMAR LÄN</t>
        </is>
      </c>
      <c r="G405" t="inlineStr">
        <is>
          <t>OSKARSHAMN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11473-2024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45372</v>
      </c>
      <c r="E406" s="1" t="n">
        <v>46319</v>
      </c>
      <c r="F406" t="inlineStr">
        <is>
          <t>KALMAR LÄN</t>
        </is>
      </c>
      <c r="G406" t="inlineStr">
        <is>
          <t>OSKARSHAMN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46319</v>
      </c>
      <c r="F407" t="inlineStr">
        <is>
          <t>KALMAR LÄN</t>
        </is>
      </c>
      <c r="G407" t="inlineStr">
        <is>
          <t>OSKARSHAMN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46319</v>
      </c>
      <c r="F408" t="inlineStr">
        <is>
          <t>KALMAR LÄN</t>
        </is>
      </c>
      <c r="G408" t="inlineStr">
        <is>
          <t>OSKARSHAMN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46319</v>
      </c>
      <c r="F409" t="inlineStr">
        <is>
          <t>KALMAR LÄN</t>
        </is>
      </c>
      <c r="G409" t="inlineStr">
        <is>
          <t>OSKARSHAMN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21307-2026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46319</v>
      </c>
      <c r="F410" t="inlineStr">
        <is>
          <t>KALMAR LÄN</t>
        </is>
      </c>
      <c r="G410" t="inlineStr">
        <is>
          <t>OSKARSHAMN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21357-2026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46147</v>
      </c>
      <c r="E411" s="1" t="n">
        <v>46319</v>
      </c>
      <c r="F411" t="inlineStr">
        <is>
          <t>KALMAR LÄN</t>
        </is>
      </c>
      <c r="G411" t="inlineStr">
        <is>
          <t>OSKARSHAMN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46319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45883-2024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45580</v>
      </c>
      <c r="E413" s="1" t="n">
        <v>46319</v>
      </c>
      <c r="F413" t="inlineStr">
        <is>
          <t>KALMAR LÄN</t>
        </is>
      </c>
      <c r="G413" t="inlineStr">
        <is>
          <t>OSKARSHAMN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46319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46319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44713</v>
      </c>
      <c r="E416" s="1" t="n">
        <v>46319</v>
      </c>
      <c r="F416" t="inlineStr">
        <is>
          <t>KALMAR LÄN</t>
        </is>
      </c>
      <c r="G416" t="inlineStr">
        <is>
          <t>OSKARSHAMN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45553</v>
      </c>
      <c r="E417" s="1" t="n">
        <v>46319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46319</v>
      </c>
      <c r="F418" t="inlineStr">
        <is>
          <t>KALMAR LÄN</t>
        </is>
      </c>
      <c r="G418" t="inlineStr">
        <is>
          <t>OSKARSHAMN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50572-2024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45601</v>
      </c>
      <c r="E419" s="1" t="n">
        <v>46319</v>
      </c>
      <c r="F419" t="inlineStr">
        <is>
          <t>KALMAR LÄN</t>
        </is>
      </c>
      <c r="G419" t="inlineStr">
        <is>
          <t>OSKARSHAMN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51766-2024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46319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46319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46319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46319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46319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46319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46319</v>
      </c>
      <c r="F426" t="inlineStr">
        <is>
          <t>KALMAR LÄN</t>
        </is>
      </c>
      <c r="G426" t="inlineStr">
        <is>
          <t>OSKARSHAMN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46319</v>
      </c>
      <c r="F427" t="inlineStr">
        <is>
          <t>KALMAR LÄN</t>
        </is>
      </c>
      <c r="G427" t="inlineStr">
        <is>
          <t>OSKARSHAMN</t>
        </is>
      </c>
      <c r="H427" t="inlineStr">
        <is>
          <t>Kommuner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46319</v>
      </c>
      <c r="F428" t="inlineStr">
        <is>
          <t>KALMAR LÄN</t>
        </is>
      </c>
      <c r="G428" t="inlineStr">
        <is>
          <t>OSKARSHAMN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46319</v>
      </c>
      <c r="F429" t="inlineStr">
        <is>
          <t>KALMAR LÄN</t>
        </is>
      </c>
      <c r="G429" t="inlineStr">
        <is>
          <t>OSKARSHAMN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46319</v>
      </c>
      <c r="F430" t="inlineStr">
        <is>
          <t>KALMAR LÄN</t>
        </is>
      </c>
      <c r="G430" t="inlineStr">
        <is>
          <t>OSKARSHAMN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46319</v>
      </c>
      <c r="F431" t="inlineStr">
        <is>
          <t>KALMAR LÄN</t>
        </is>
      </c>
      <c r="G431" t="inlineStr">
        <is>
          <t>OSKARSHAMN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8656-2022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44613</v>
      </c>
      <c r="E432" s="1" t="n">
        <v>46319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46319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45034</v>
      </c>
      <c r="E434" s="1" t="n">
        <v>46319</v>
      </c>
      <c r="F434" t="inlineStr">
        <is>
          <t>KALMAR LÄN</t>
        </is>
      </c>
      <c r="G434" t="inlineStr">
        <is>
          <t>OSKARSHAMN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46319</v>
      </c>
      <c r="F435" t="inlineStr">
        <is>
          <t>KALMAR LÄN</t>
        </is>
      </c>
      <c r="G435" t="inlineStr">
        <is>
          <t>OSKARSHAMN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46319</v>
      </c>
      <c r="F436" t="inlineStr">
        <is>
          <t>KALMAR LÄN</t>
        </is>
      </c>
      <c r="G436" t="inlineStr">
        <is>
          <t>OSKARSHAMN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46319</v>
      </c>
      <c r="F437" t="inlineStr">
        <is>
          <t>KALMAR LÄN</t>
        </is>
      </c>
      <c r="G437" t="inlineStr">
        <is>
          <t>OSKARSHAMN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45625</v>
      </c>
      <c r="E438" s="1" t="n">
        <v>46319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46319</v>
      </c>
      <c r="F439" t="inlineStr">
        <is>
          <t>KALMAR LÄN</t>
        </is>
      </c>
      <c r="G439" t="inlineStr">
        <is>
          <t>OSKARSHAMN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15754-2022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44663</v>
      </c>
      <c r="E440" s="1" t="n">
        <v>46319</v>
      </c>
      <c r="F440" t="inlineStr">
        <is>
          <t>KALMAR LÄN</t>
        </is>
      </c>
      <c r="G440" t="inlineStr">
        <is>
          <t>OSKARSHAMN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46319</v>
      </c>
      <c r="F441" t="inlineStr">
        <is>
          <t>KALMAR LÄN</t>
        </is>
      </c>
      <c r="G441" t="inlineStr">
        <is>
          <t>OSKARSHAMN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46319</v>
      </c>
      <c r="F442" t="inlineStr">
        <is>
          <t>KALMAR LÄN</t>
        </is>
      </c>
      <c r="G442" t="inlineStr">
        <is>
          <t>OSKARSHAMN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46319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46319</v>
      </c>
      <c r="F444" t="inlineStr">
        <is>
          <t>KALMAR LÄN</t>
        </is>
      </c>
      <c r="G444" t="inlineStr">
        <is>
          <t>OSKARSHAMN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45092</v>
      </c>
      <c r="E445" s="1" t="n">
        <v>46319</v>
      </c>
      <c r="F445" t="inlineStr">
        <is>
          <t>KALMAR LÄN</t>
        </is>
      </c>
      <c r="G445" t="inlineStr">
        <is>
          <t>OSKARSHAMN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46319</v>
      </c>
      <c r="F446" t="inlineStr">
        <is>
          <t>KALMAR LÄN</t>
        </is>
      </c>
      <c r="G446" t="inlineStr">
        <is>
          <t>OSKARSHAMN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44733</v>
      </c>
      <c r="E447" s="1" t="n">
        <v>46319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46319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57110-2023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46319</v>
      </c>
      <c r="F449" t="inlineStr">
        <is>
          <t>KALMAR LÄN</t>
        </is>
      </c>
      <c r="G449" t="inlineStr">
        <is>
          <t>OSKARSHAMN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45198</v>
      </c>
      <c r="E450" s="1" t="n">
        <v>46319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46319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46319</v>
      </c>
      <c r="F452" t="inlineStr">
        <is>
          <t>KALMAR LÄN</t>
        </is>
      </c>
      <c r="G452" t="inlineStr">
        <is>
          <t>OSKARSHAMN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46319</v>
      </c>
      <c r="F453" t="inlineStr">
        <is>
          <t>KALMAR LÄN</t>
        </is>
      </c>
      <c r="G453" t="inlineStr">
        <is>
          <t>OSKARSHAMN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46319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43463-2022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44836</v>
      </c>
      <c r="E455" s="1" t="n">
        <v>46319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45435</v>
      </c>
      <c r="E456" s="1" t="n">
        <v>46319</v>
      </c>
      <c r="F456" t="inlineStr">
        <is>
          <t>KALMAR LÄN</t>
        </is>
      </c>
      <c r="G456" t="inlineStr">
        <is>
          <t>OSKARSHAMN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46319</v>
      </c>
      <c r="F457" t="inlineStr">
        <is>
          <t>KALMAR LÄN</t>
        </is>
      </c>
      <c r="G457" t="inlineStr">
        <is>
          <t>OSKARSHAMN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46319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46319</v>
      </c>
      <c r="F459" t="inlineStr">
        <is>
          <t>KALMAR LÄN</t>
        </is>
      </c>
      <c r="G459" t="inlineStr">
        <is>
          <t>OSKARSHAMN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45369</v>
      </c>
      <c r="E460" s="1" t="n">
        <v>46319</v>
      </c>
      <c r="F460" t="inlineStr">
        <is>
          <t>KALMAR LÄN</t>
        </is>
      </c>
      <c r="G460" t="inlineStr">
        <is>
          <t>OSKARSHAMN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45369</v>
      </c>
      <c r="E461" s="1" t="n">
        <v>46319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45208</v>
      </c>
      <c r="E462" s="1" t="n">
        <v>46319</v>
      </c>
      <c r="F462" t="inlineStr">
        <is>
          <t>KALMAR LÄN</t>
        </is>
      </c>
      <c r="G462" t="inlineStr">
        <is>
          <t>OSKARSHAMN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64474-2023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45280</v>
      </c>
      <c r="E463" s="1" t="n">
        <v>46319</v>
      </c>
      <c r="F463" t="inlineStr">
        <is>
          <t>KALMAR LÄN</t>
        </is>
      </c>
      <c r="G463" t="inlineStr">
        <is>
          <t>OSKARSHAMN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64476-2023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46319</v>
      </c>
      <c r="F464" t="inlineStr">
        <is>
          <t>KALMAR LÄN</t>
        </is>
      </c>
      <c r="G464" t="inlineStr">
        <is>
          <t>OSKARSHAMN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46319</v>
      </c>
      <c r="F465" t="inlineStr">
        <is>
          <t>KALMAR LÄN</t>
        </is>
      </c>
      <c r="G465" t="inlineStr">
        <is>
          <t>OSKARSHAMN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46319</v>
      </c>
      <c r="F466" t="inlineStr">
        <is>
          <t>KALMAR LÄN</t>
        </is>
      </c>
      <c r="G466" t="inlineStr">
        <is>
          <t>OSKARSHAMN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46319</v>
      </c>
      <c r="F467" t="inlineStr">
        <is>
          <t>KALMAR LÄN</t>
        </is>
      </c>
      <c r="G467" t="inlineStr">
        <is>
          <t>OSKARSHAMN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45147</v>
      </c>
      <c r="E468" s="1" t="n">
        <v>46319</v>
      </c>
      <c r="F468" t="inlineStr">
        <is>
          <t>KALMAR LÄN</t>
        </is>
      </c>
      <c r="G468" t="inlineStr">
        <is>
          <t>OSKARSHAMN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46319</v>
      </c>
      <c r="F469" t="inlineStr">
        <is>
          <t>KALMAR LÄN</t>
        </is>
      </c>
      <c r="G469" t="inlineStr">
        <is>
          <t>OSKARSHAMN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46319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46319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46319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46319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72786-2021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44547</v>
      </c>
      <c r="E474" s="1" t="n">
        <v>46319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46319</v>
      </c>
      <c r="F475" t="inlineStr">
        <is>
          <t>KALMAR LÄN</t>
        </is>
      </c>
      <c r="G475" t="inlineStr">
        <is>
          <t>OSKARSHAMN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44965</v>
      </c>
      <c r="E476" s="1" t="n">
        <v>46319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46319</v>
      </c>
      <c r="F477" t="inlineStr">
        <is>
          <t>KALMAR LÄN</t>
        </is>
      </c>
      <c r="G477" t="inlineStr">
        <is>
          <t>OSKARSHAMN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39937-2023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46319</v>
      </c>
      <c r="F478" t="inlineStr">
        <is>
          <t>KALMAR LÄN</t>
        </is>
      </c>
      <c r="G478" t="inlineStr">
        <is>
          <t>OSKARSHAMN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45411</v>
      </c>
      <c r="E479" s="1" t="n">
        <v>46319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44621</v>
      </c>
      <c r="E480" s="1" t="n">
        <v>46319</v>
      </c>
      <c r="F480" t="inlineStr">
        <is>
          <t>KALMAR LÄN</t>
        </is>
      </c>
      <c r="G480" t="inlineStr">
        <is>
          <t>OSKARSHAMN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45043</v>
      </c>
      <c r="E481" s="1" t="n">
        <v>46319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45022</v>
      </c>
      <c r="E482" s="1" t="n">
        <v>46319</v>
      </c>
      <c r="F482" t="inlineStr">
        <is>
          <t>KALMAR LÄN</t>
        </is>
      </c>
      <c r="G482" t="inlineStr">
        <is>
          <t>OSKARSHAMN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45601</v>
      </c>
      <c r="E483" s="1" t="n">
        <v>46319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45580</v>
      </c>
      <c r="E484" s="1" t="n">
        <v>46319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59710-2021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44494</v>
      </c>
      <c r="E485" s="1" t="n">
        <v>46319</v>
      </c>
      <c r="F485" t="inlineStr">
        <is>
          <t>KALMAR LÄN</t>
        </is>
      </c>
      <c r="G485" t="inlineStr">
        <is>
          <t>OSKARSHAMN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44573</v>
      </c>
      <c r="E486" s="1" t="n">
        <v>46319</v>
      </c>
      <c r="F486" t="inlineStr">
        <is>
          <t>KALMAR LÄN</t>
        </is>
      </c>
      <c r="G486" t="inlineStr">
        <is>
          <t>OSKARSHAMN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45898-2024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45580</v>
      </c>
      <c r="E487" s="1" t="n">
        <v>46319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45223</v>
      </c>
      <c r="E488" s="1" t="n">
        <v>46319</v>
      </c>
      <c r="F488" t="inlineStr">
        <is>
          <t>KALMAR LÄN</t>
        </is>
      </c>
      <c r="G488" t="inlineStr">
        <is>
          <t>OSKARSHAMN</t>
        </is>
      </c>
      <c r="I488" t="n">
        <v>15.3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45075</v>
      </c>
      <c r="E489" s="1" t="n">
        <v>46319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46319</v>
      </c>
      <c r="F490" t="inlineStr">
        <is>
          <t>KALMAR LÄN</t>
        </is>
      </c>
      <c r="G490" t="inlineStr">
        <is>
          <t>OSKARSHAMN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46319</v>
      </c>
      <c r="F491" t="inlineStr">
        <is>
          <t>KALMAR LÄN</t>
        </is>
      </c>
      <c r="G491" t="inlineStr">
        <is>
          <t>OSKARSHAMN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44551</v>
      </c>
      <c r="E492" s="1" t="n">
        <v>46319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46319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46319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46319</v>
      </c>
      <c r="F495" t="inlineStr">
        <is>
          <t>KALMAR LÄN</t>
        </is>
      </c>
      <c r="G495" t="inlineStr">
        <is>
          <t>OSKARSHAMN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45567</v>
      </c>
      <c r="E496" s="1" t="n">
        <v>46319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26132-2023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45091</v>
      </c>
      <c r="E497" s="1" t="n">
        <v>46319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72819-2021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44547</v>
      </c>
      <c r="E498" s="1" t="n">
        <v>46319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46319</v>
      </c>
      <c r="F499" t="inlineStr">
        <is>
          <t>KALMAR LÄN</t>
        </is>
      </c>
      <c r="G499" t="inlineStr">
        <is>
          <t>OSKARSHAMN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46319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46319</v>
      </c>
      <c r="F501" t="inlineStr">
        <is>
          <t>KALMAR LÄN</t>
        </is>
      </c>
      <c r="G501" t="inlineStr">
        <is>
          <t>OSKARSHAMN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46319</v>
      </c>
      <c r="F502" t="inlineStr">
        <is>
          <t>KALMAR LÄN</t>
        </is>
      </c>
      <c r="G502" t="inlineStr">
        <is>
          <t>OSKARSHAMN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46319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46319</v>
      </c>
      <c r="F504" t="inlineStr">
        <is>
          <t>KALMAR LÄN</t>
        </is>
      </c>
      <c r="G504" t="inlineStr">
        <is>
          <t>OSKARSHAMN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45207</v>
      </c>
      <c r="E505" s="1" t="n">
        <v>46319</v>
      </c>
      <c r="F505" t="inlineStr">
        <is>
          <t>KALMAR LÄN</t>
        </is>
      </c>
      <c r="G505" t="inlineStr">
        <is>
          <t>OSKARSHAMN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46319</v>
      </c>
      <c r="F506" t="inlineStr">
        <is>
          <t>KALMAR LÄN</t>
        </is>
      </c>
      <c r="G506" t="inlineStr">
        <is>
          <t>OSKARSHAMN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45147</v>
      </c>
      <c r="E507" s="1" t="n">
        <v>46319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45687</v>
      </c>
      <c r="E508" s="1" t="n">
        <v>46319</v>
      </c>
      <c r="F508" t="inlineStr">
        <is>
          <t>KALMAR LÄN</t>
        </is>
      </c>
      <c r="G508" t="inlineStr">
        <is>
          <t>OSKARSHAMN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46319</v>
      </c>
      <c r="F509" t="inlineStr">
        <is>
          <t>KALMAR LÄN</t>
        </is>
      </c>
      <c r="G509" t="inlineStr">
        <is>
          <t>OSKARSHAMN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44711</v>
      </c>
      <c r="E510" s="1" t="n">
        <v>46319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46319</v>
      </c>
      <c r="F511" t="inlineStr">
        <is>
          <t>KALMAR LÄN</t>
        </is>
      </c>
      <c r="G511" t="inlineStr">
        <is>
          <t>OSKARSHAMN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44818</v>
      </c>
      <c r="E512" s="1" t="n">
        <v>46319</v>
      </c>
      <c r="F512" t="inlineStr">
        <is>
          <t>KALMAR LÄN</t>
        </is>
      </c>
      <c r="G512" t="inlineStr">
        <is>
          <t>OSKARSHAMN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46319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44749</v>
      </c>
      <c r="E514" s="1" t="n">
        <v>46319</v>
      </c>
      <c r="F514" t="inlineStr">
        <is>
          <t>KALMAR LÄN</t>
        </is>
      </c>
      <c r="G514" t="inlineStr">
        <is>
          <t>OSKARSHAMN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46319</v>
      </c>
      <c r="F515" t="inlineStr">
        <is>
          <t>KALMAR LÄN</t>
        </is>
      </c>
      <c r="G515" t="inlineStr">
        <is>
          <t>OSKARSHAMN</t>
        </is>
      </c>
      <c r="I515" t="n">
        <v>12.9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46319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46319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46319</v>
      </c>
      <c r="F518" t="inlineStr">
        <is>
          <t>KALMAR LÄN</t>
        </is>
      </c>
      <c r="G518" t="inlineStr">
        <is>
          <t>OSKARSHAMN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46319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56189-2023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46319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45754</v>
      </c>
      <c r="E521" s="1" t="n">
        <v>46319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45317</v>
      </c>
      <c r="E522" s="1" t="n">
        <v>46319</v>
      </c>
      <c r="F522" t="inlineStr">
        <is>
          <t>KALMAR LÄN</t>
        </is>
      </c>
      <c r="G522" t="inlineStr">
        <is>
          <t>OSKARSHAMN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45448</v>
      </c>
      <c r="E523" s="1" t="n">
        <v>46319</v>
      </c>
      <c r="F523" t="inlineStr">
        <is>
          <t>KALMAR LÄN</t>
        </is>
      </c>
      <c r="G523" t="inlineStr">
        <is>
          <t>OSKARSHAMN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45254</v>
      </c>
      <c r="E524" s="1" t="n">
        <v>46319</v>
      </c>
      <c r="F524" t="inlineStr">
        <is>
          <t>KALMAR LÄN</t>
        </is>
      </c>
      <c r="G524" t="inlineStr">
        <is>
          <t>OSKARSHAMN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46319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46319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62623-2021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44503</v>
      </c>
      <c r="E527" s="1" t="n">
        <v>46319</v>
      </c>
      <c r="F527" t="inlineStr">
        <is>
          <t>KALMAR LÄN</t>
        </is>
      </c>
      <c r="G527" t="inlineStr">
        <is>
          <t>OSKARSHAMN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61854-2022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46319</v>
      </c>
      <c r="F528" t="inlineStr">
        <is>
          <t>KALMAR LÄN</t>
        </is>
      </c>
      <c r="G528" t="inlineStr">
        <is>
          <t>OSKARSHAMN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45330</v>
      </c>
      <c r="E529" s="1" t="n">
        <v>46319</v>
      </c>
      <c r="F529" t="inlineStr">
        <is>
          <t>KALMAR LÄN</t>
        </is>
      </c>
      <c r="G529" t="inlineStr">
        <is>
          <t>OSKARSHAMN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46319</v>
      </c>
      <c r="F530" t="inlineStr">
        <is>
          <t>KALMAR LÄN</t>
        </is>
      </c>
      <c r="G530" t="inlineStr">
        <is>
          <t>OSKARSHAMN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45448</v>
      </c>
      <c r="E531" s="1" t="n">
        <v>46319</v>
      </c>
      <c r="F531" t="inlineStr">
        <is>
          <t>KALMAR LÄN</t>
        </is>
      </c>
      <c r="G531" t="inlineStr">
        <is>
          <t>OSKARSHAMN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45015</v>
      </c>
      <c r="E532" s="1" t="n">
        <v>46319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46319</v>
      </c>
      <c r="F533" t="inlineStr">
        <is>
          <t>KALMAR LÄN</t>
        </is>
      </c>
      <c r="G533" t="inlineStr">
        <is>
          <t>OSKARSHAMN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45294</v>
      </c>
      <c r="E534" s="1" t="n">
        <v>46319</v>
      </c>
      <c r="F534" t="inlineStr">
        <is>
          <t>KALMAR LÄN</t>
        </is>
      </c>
      <c r="G534" t="inlineStr">
        <is>
          <t>OSKARSHAMN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45274</v>
      </c>
      <c r="E535" s="1" t="n">
        <v>46319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45589</v>
      </c>
      <c r="E536" s="1" t="n">
        <v>46319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44879</v>
      </c>
      <c r="E537" s="1" t="n">
        <v>46319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44621</v>
      </c>
      <c r="E538" s="1" t="n">
        <v>46319</v>
      </c>
      <c r="F538" t="inlineStr">
        <is>
          <t>KALMAR LÄN</t>
        </is>
      </c>
      <c r="G538" t="inlineStr">
        <is>
          <t>OSKARSHAMN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45215</v>
      </c>
      <c r="E539" s="1" t="n">
        <v>46319</v>
      </c>
      <c r="F539" t="inlineStr">
        <is>
          <t>KALMAR LÄN</t>
        </is>
      </c>
      <c r="G539" t="inlineStr">
        <is>
          <t>OSKARSHAMN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45523</v>
      </c>
      <c r="E540" s="1" t="n">
        <v>46319</v>
      </c>
      <c r="F540" t="inlineStr">
        <is>
          <t>KALMAR LÄN</t>
        </is>
      </c>
      <c r="G540" t="inlineStr">
        <is>
          <t>OSKARSHAMN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46319</v>
      </c>
      <c r="F541" t="inlineStr">
        <is>
          <t>KALMAR LÄN</t>
        </is>
      </c>
      <c r="G541" t="inlineStr">
        <is>
          <t>OSKARSHAMN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22801-2024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45448</v>
      </c>
      <c r="E542" s="1" t="n">
        <v>46319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46319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46319</v>
      </c>
      <c r="F544" t="inlineStr">
        <is>
          <t>KALMAR LÄN</t>
        </is>
      </c>
      <c r="G544" t="inlineStr">
        <is>
          <t>OSKARSHAMN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50922-2022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44865</v>
      </c>
      <c r="E545" s="1" t="n">
        <v>46319</v>
      </c>
      <c r="F545" t="inlineStr">
        <is>
          <t>KALMAR LÄN</t>
        </is>
      </c>
      <c r="G545" t="inlineStr">
        <is>
          <t>OSKARSHAMN</t>
        </is>
      </c>
      <c r="H545" t="inlineStr">
        <is>
          <t>Övriga Aktiebolag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45720</v>
      </c>
      <c r="E546" s="1" t="n">
        <v>46319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27684-2022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44743</v>
      </c>
      <c r="E547" s="1" t="n">
        <v>46319</v>
      </c>
      <c r="F547" t="inlineStr">
        <is>
          <t>KALMAR LÄN</t>
        </is>
      </c>
      <c r="G547" t="inlineStr">
        <is>
          <t>OSKARSHAMN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44585</v>
      </c>
      <c r="E548" s="1" t="n">
        <v>46319</v>
      </c>
      <c r="F548" t="inlineStr">
        <is>
          <t>KALMAR LÄN</t>
        </is>
      </c>
      <c r="G548" t="inlineStr">
        <is>
          <t>OSKARSHAMN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61862-2022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46319</v>
      </c>
      <c r="F549" t="inlineStr">
        <is>
          <t>KALMAR LÄN</t>
        </is>
      </c>
      <c r="G549" t="inlineStr">
        <is>
          <t>OSKARSHAMN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46319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46319</v>
      </c>
      <c r="F551" t="inlineStr">
        <is>
          <t>KALMAR LÄN</t>
        </is>
      </c>
      <c r="G551" t="inlineStr">
        <is>
          <t>OSKARSHAMN</t>
        </is>
      </c>
      <c r="H551" t="inlineStr">
        <is>
          <t>Sveaskog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46319</v>
      </c>
      <c r="F552" t="inlineStr">
        <is>
          <t>KALMAR LÄN</t>
        </is>
      </c>
      <c r="G552" t="inlineStr">
        <is>
          <t>OSKARSHAMN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46319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651-2022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44594</v>
      </c>
      <c r="E554" s="1" t="n">
        <v>46319</v>
      </c>
      <c r="F554" t="inlineStr">
        <is>
          <t>KALMAR LÄN</t>
        </is>
      </c>
      <c r="G554" t="inlineStr">
        <is>
          <t>OSKARSHAMN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2026-2022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44665</v>
      </c>
      <c r="E555" s="1" t="n">
        <v>46319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1437-2022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44634</v>
      </c>
      <c r="E556" s="1" t="n">
        <v>46319</v>
      </c>
      <c r="F556" t="inlineStr">
        <is>
          <t>KALMAR LÄN</t>
        </is>
      </c>
      <c r="G556" t="inlineStr">
        <is>
          <t>OSKARSHAMN</t>
        </is>
      </c>
      <c r="I556" t="n">
        <v>24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679-2024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45357</v>
      </c>
      <c r="E557" s="1" t="n">
        <v>46319</v>
      </c>
      <c r="F557" t="inlineStr">
        <is>
          <t>KALMAR LÄN</t>
        </is>
      </c>
      <c r="G557" t="inlineStr">
        <is>
          <t>OSKARSHAMN</t>
        </is>
      </c>
      <c r="I557" t="n">
        <v>8.199999999999999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4832-2024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45615</v>
      </c>
      <c r="E558" s="1" t="n">
        <v>46319</v>
      </c>
      <c r="F558" t="inlineStr">
        <is>
          <t>KALMAR LÄN</t>
        </is>
      </c>
      <c r="G558" t="inlineStr">
        <is>
          <t>OSKARSHAMN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1910-2023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45078</v>
      </c>
      <c r="E559" s="1" t="n">
        <v>46319</v>
      </c>
      <c r="F559" t="inlineStr">
        <is>
          <t>KALMAR LÄN</t>
        </is>
      </c>
      <c r="G559" t="inlineStr">
        <is>
          <t>OSKARSHAMN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678-2024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45357</v>
      </c>
      <c r="E560" s="1" t="n">
        <v>46319</v>
      </c>
      <c r="F560" t="inlineStr">
        <is>
          <t>KALMAR LÄN</t>
        </is>
      </c>
      <c r="G560" t="inlineStr">
        <is>
          <t>OSKARSHAMN</t>
        </is>
      </c>
      <c r="I560" t="n">
        <v>52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4600-2023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45287</v>
      </c>
      <c r="E561" s="1" t="n">
        <v>46319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2623-2024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45477</v>
      </c>
      <c r="E562" s="1" t="n">
        <v>46319</v>
      </c>
      <c r="F562" t="inlineStr">
        <is>
          <t>KALMAR LÄN</t>
        </is>
      </c>
      <c r="G562" t="inlineStr">
        <is>
          <t>OSKARSHAMN</t>
        </is>
      </c>
      <c r="I562" t="n">
        <v>11.9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2620-2024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45477</v>
      </c>
      <c r="E563" s="1" t="n">
        <v>46319</v>
      </c>
      <c r="F563" t="inlineStr">
        <is>
          <t>KALMAR LÄN</t>
        </is>
      </c>
      <c r="G563" t="inlineStr">
        <is>
          <t>OSKARSHAMN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3313-2023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45195</v>
      </c>
      <c r="E564" s="1" t="n">
        <v>46319</v>
      </c>
      <c r="F564" t="inlineStr">
        <is>
          <t>KALMAR LÄN</t>
        </is>
      </c>
      <c r="G564" t="inlineStr">
        <is>
          <t>OSKARSHAMN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821-2023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44988</v>
      </c>
      <c r="E565" s="1" t="n">
        <v>46319</v>
      </c>
      <c r="F565" t="inlineStr">
        <is>
          <t>KALMAR LÄN</t>
        </is>
      </c>
      <c r="G565" t="inlineStr">
        <is>
          <t>OSKARSHAMN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2566-2024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45476</v>
      </c>
      <c r="E566" s="1" t="n">
        <v>46319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46319</v>
      </c>
      <c r="F567" t="inlineStr">
        <is>
          <t>KALMAR LÄN</t>
        </is>
      </c>
      <c r="G567" t="inlineStr">
        <is>
          <t>OSKARSHAMN</t>
        </is>
      </c>
      <c r="I567" t="n">
        <v>37.5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680-2024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46319</v>
      </c>
      <c r="F568" t="inlineStr">
        <is>
          <t>KALMAR LÄN</t>
        </is>
      </c>
      <c r="G568" t="inlineStr">
        <is>
          <t>OSKARSHAMN</t>
        </is>
      </c>
      <c r="I568" t="n">
        <v>47.2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45470</v>
      </c>
      <c r="E569" s="1" t="n">
        <v>46319</v>
      </c>
      <c r="F569" t="inlineStr">
        <is>
          <t>KALMAR LÄN</t>
        </is>
      </c>
      <c r="G569" t="inlineStr">
        <is>
          <t>OSKARSHAMN</t>
        </is>
      </c>
      <c r="I569" t="n">
        <v>34.4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712-2023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44979</v>
      </c>
      <c r="E570" s="1" t="n">
        <v>46319</v>
      </c>
      <c r="F570" t="inlineStr">
        <is>
          <t>KALMAR LÄN</t>
        </is>
      </c>
      <c r="G570" t="inlineStr">
        <is>
          <t>OSKARSHAMN</t>
        </is>
      </c>
      <c r="I570" t="n">
        <v>24.6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2367-2025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45889</v>
      </c>
      <c r="E571" s="1" t="n">
        <v>46319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2970-2025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45954</v>
      </c>
      <c r="E572" s="1" t="n">
        <v>46319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46009</v>
      </c>
      <c r="E573" s="1" t="n">
        <v>46319</v>
      </c>
      <c r="F573" t="inlineStr">
        <is>
          <t>KALMAR LÄN</t>
        </is>
      </c>
      <c r="G573" t="inlineStr">
        <is>
          <t>OSKARSHAMN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2386-2024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45468</v>
      </c>
      <c r="E574" s="1" t="n">
        <v>46319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1820-2026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46197</v>
      </c>
      <c r="E575" s="1" t="n">
        <v>46319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2026-10-24T02:03:45Z</dcterms:created>
  <dcterms:modified xmlns:dcterms="http://purl.org/dc/terms/" xmlns:xsi="http://www.w3.org/2001/XMLSchema-instance" xsi:type="dcterms:W3CDTF">2026-10-24T02:03:46Z</dcterms:modified>
</cp:coreProperties>
</file>