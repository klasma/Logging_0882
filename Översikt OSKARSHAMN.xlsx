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45337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45337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45337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45337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45337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45337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45337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45337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45337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45337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45337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45337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45337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45337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45337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45337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45337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45337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45337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45337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45337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45337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45337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45337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45337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45337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45337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45337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45337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45337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45337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45337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45337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45337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45337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45337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45337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45337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45337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12329-2021</t>
        </is>
      </c>
      <c r="B41" s="1" t="n">
        <v>44267</v>
      </c>
      <c r="C41" s="1" t="n">
        <v>45337</v>
      </c>
      <c r="D41" t="inlineStr">
        <is>
          <t>KALMAR LÄN</t>
        </is>
      </c>
      <c r="E41" t="inlineStr">
        <is>
          <t>OSKARSHAMN</t>
        </is>
      </c>
      <c r="G41" t="n">
        <v>16.6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Åkerkulla</t>
        </is>
      </c>
      <c r="S41">
        <f>HYPERLINK("https://klasma.github.io/Logging_0882/artfynd/A 12329-2021 artfynd.xlsx", "A 12329-2021")</f>
        <v/>
      </c>
      <c r="T41">
        <f>HYPERLINK("https://klasma.github.io/Logging_0882/kartor/A 12329-2021 karta.png", "A 12329-2021")</f>
        <v/>
      </c>
      <c r="V41">
        <f>HYPERLINK("https://klasma.github.io/Logging_0882/klagomål/A 12329-2021 FSC-klagomål.docx", "A 12329-2021")</f>
        <v/>
      </c>
      <c r="W41">
        <f>HYPERLINK("https://klasma.github.io/Logging_0882/klagomålsmail/A 12329-2021 FSC-klagomål mail.docx", "A 12329-2021")</f>
        <v/>
      </c>
      <c r="X41">
        <f>HYPERLINK("https://klasma.github.io/Logging_0882/tillsyn/A 12329-2021 tillsynsbegäran.docx", "A 12329-2021")</f>
        <v/>
      </c>
      <c r="Y41">
        <f>HYPERLINK("https://klasma.github.io/Logging_0882/tillsynsmail/A 12329-2021 tillsynsbegäran mail.docx", "A 12329-2021")</f>
        <v/>
      </c>
    </row>
    <row r="42" ht="15" customHeight="1">
      <c r="A42" t="inlineStr">
        <is>
          <t>A 25380-2021</t>
        </is>
      </c>
      <c r="B42" s="1" t="n">
        <v>44342</v>
      </c>
      <c r="C42" s="1" t="n">
        <v>45337</v>
      </c>
      <c r="D42" t="inlineStr">
        <is>
          <t>KALMAR LÄN</t>
        </is>
      </c>
      <c r="E42" t="inlineStr">
        <is>
          <t>OSKARSHAMN</t>
        </is>
      </c>
      <c r="F42" t="inlineStr">
        <is>
          <t>Kommuner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Grönbladsbjörnbär</t>
        </is>
      </c>
      <c r="S42">
        <f>HYPERLINK("https://klasma.github.io/Logging_0882/artfynd/A 25380-2021 artfynd.xlsx", "A 25380-2021")</f>
        <v/>
      </c>
      <c r="T42">
        <f>HYPERLINK("https://klasma.github.io/Logging_0882/kartor/A 25380-2021 karta.png", "A 25380-2021")</f>
        <v/>
      </c>
      <c r="V42">
        <f>HYPERLINK("https://klasma.github.io/Logging_0882/klagomål/A 25380-2021 FSC-klagomål.docx", "A 25380-2021")</f>
        <v/>
      </c>
      <c r="W42">
        <f>HYPERLINK("https://klasma.github.io/Logging_0882/klagomålsmail/A 25380-2021 FSC-klagomål mail.docx", "A 25380-2021")</f>
        <v/>
      </c>
      <c r="X42">
        <f>HYPERLINK("https://klasma.github.io/Logging_0882/tillsyn/A 25380-2021 tillsynsbegäran.docx", "A 25380-2021")</f>
        <v/>
      </c>
      <c r="Y42">
        <f>HYPERLINK("https://klasma.github.io/Logging_0882/tillsynsmail/A 25380-2021 tillsynsbegäran mail.docx", "A 25380-2021")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45337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28299-2021</t>
        </is>
      </c>
      <c r="B44" s="1" t="n">
        <v>44356</v>
      </c>
      <c r="C44" s="1" t="n">
        <v>45337</v>
      </c>
      <c r="D44" t="inlineStr">
        <is>
          <t>KALMAR LÄN</t>
        </is>
      </c>
      <c r="E44" t="inlineStr">
        <is>
          <t>OSKARSHAMN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28299-2021 artfynd.xlsx", "A 28299-2021")</f>
        <v/>
      </c>
      <c r="T44">
        <f>HYPERLINK("https://klasma.github.io/Logging_0882/kartor/A 28299-2021 karta.png", "A 28299-2021")</f>
        <v/>
      </c>
      <c r="V44">
        <f>HYPERLINK("https://klasma.github.io/Logging_0882/klagomål/A 28299-2021 FSC-klagomål.docx", "A 28299-2021")</f>
        <v/>
      </c>
      <c r="W44">
        <f>HYPERLINK("https://klasma.github.io/Logging_0882/klagomålsmail/A 28299-2021 FSC-klagomål mail.docx", "A 28299-2021")</f>
        <v/>
      </c>
      <c r="X44">
        <f>HYPERLINK("https://klasma.github.io/Logging_0882/tillsyn/A 28299-2021 tillsynsbegäran.docx", "A 28299-2021")</f>
        <v/>
      </c>
      <c r="Y44">
        <f>HYPERLINK("https://klasma.github.io/Logging_0882/tillsynsmail/A 28299-2021 tillsynsbegäran mail.docx", "A 28299-2021")</f>
        <v/>
      </c>
      <c r="Z44">
        <f>HYPERLINK("https://klasma.github.io/Logging_0882/fåglar/A 28299-2021 prioriterade fågelarter.docx", "A 28299-2021")</f>
        <v/>
      </c>
    </row>
    <row r="45" ht="15" customHeight="1">
      <c r="A45" t="inlineStr">
        <is>
          <t>A 28298-2021</t>
        </is>
      </c>
      <c r="B45" s="1" t="n">
        <v>44356</v>
      </c>
      <c r="C45" s="1" t="n">
        <v>45337</v>
      </c>
      <c r="D45" t="inlineStr">
        <is>
          <t>KALMAR LÄN</t>
        </is>
      </c>
      <c r="E45" t="inlineStr">
        <is>
          <t>OSKARSHAMN</t>
        </is>
      </c>
      <c r="G45" t="n">
        <v>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HYPERLINK("https://klasma.github.io/Logging_0882/artfynd/A 28298-2021 artfynd.xlsx", "A 28298-2021")</f>
        <v/>
      </c>
      <c r="T45">
        <f>HYPERLINK("https://klasma.github.io/Logging_0882/kartor/A 28298-2021 karta.png", "A 28298-2021")</f>
        <v/>
      </c>
      <c r="V45">
        <f>HYPERLINK("https://klasma.github.io/Logging_0882/klagomål/A 28298-2021 FSC-klagomål.docx", "A 28298-2021")</f>
        <v/>
      </c>
      <c r="W45">
        <f>HYPERLINK("https://klasma.github.io/Logging_0882/klagomålsmail/A 28298-2021 FSC-klagomål mail.docx", "A 28298-2021")</f>
        <v/>
      </c>
      <c r="X45">
        <f>HYPERLINK("https://klasma.github.io/Logging_0882/tillsyn/A 28298-2021 tillsynsbegäran.docx", "A 28298-2021")</f>
        <v/>
      </c>
      <c r="Y45">
        <f>HYPERLINK("https://klasma.github.io/Logging_0882/tillsynsmail/A 28298-2021 tillsynsbegäran mail.docx", "A 28298-2021")</f>
        <v/>
      </c>
    </row>
    <row r="46" ht="15" customHeight="1">
      <c r="A46" t="inlineStr">
        <is>
          <t>A 33837-2021</t>
        </is>
      </c>
      <c r="B46" s="1" t="n">
        <v>44378</v>
      </c>
      <c r="C46" s="1" t="n">
        <v>45337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HYPERLINK("https://klasma.github.io/Logging_0882/artfynd/A 33837-2021 artfynd.xlsx", "A 33837-2021")</f>
        <v/>
      </c>
      <c r="T46">
        <f>HYPERLINK("https://klasma.github.io/Logging_0882/kartor/A 33837-2021 karta.png", "A 33837-2021")</f>
        <v/>
      </c>
      <c r="V46">
        <f>HYPERLINK("https://klasma.github.io/Logging_0882/klagomål/A 33837-2021 FSC-klagomål.docx", "A 33837-2021")</f>
        <v/>
      </c>
      <c r="W46">
        <f>HYPERLINK("https://klasma.github.io/Logging_0882/klagomålsmail/A 33837-2021 FSC-klagomål mail.docx", "A 33837-2021")</f>
        <v/>
      </c>
      <c r="X46">
        <f>HYPERLINK("https://klasma.github.io/Logging_0882/tillsyn/A 33837-2021 tillsynsbegäran.docx", "A 33837-2021")</f>
        <v/>
      </c>
      <c r="Y46">
        <f>HYPERLINK("https://klasma.github.io/Logging_0882/tillsynsmail/A 33837-2021 tillsynsbegäran mail.docx", "A 33837-2021")</f>
        <v/>
      </c>
    </row>
    <row r="47" ht="15" customHeight="1">
      <c r="A47" t="inlineStr">
        <is>
          <t>A 38317-2021</t>
        </is>
      </c>
      <c r="B47" s="1" t="n">
        <v>44406</v>
      </c>
      <c r="C47" s="1" t="n">
        <v>45337</v>
      </c>
      <c r="D47" t="inlineStr">
        <is>
          <t>KALMAR LÄN</t>
        </is>
      </c>
      <c r="E47" t="inlineStr">
        <is>
          <t>OSKARSHAMN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HYPERLINK("https://klasma.github.io/Logging_0882/artfynd/A 38317-2021 artfynd.xlsx", "A 38317-2021")</f>
        <v/>
      </c>
      <c r="T47">
        <f>HYPERLINK("https://klasma.github.io/Logging_0882/kartor/A 38317-2021 karta.png", "A 38317-2021")</f>
        <v/>
      </c>
      <c r="V47">
        <f>HYPERLINK("https://klasma.github.io/Logging_0882/klagomål/A 38317-2021 FSC-klagomål.docx", "A 38317-2021")</f>
        <v/>
      </c>
      <c r="W47">
        <f>HYPERLINK("https://klasma.github.io/Logging_0882/klagomålsmail/A 38317-2021 FSC-klagomål mail.docx", "A 38317-2021")</f>
        <v/>
      </c>
      <c r="X47">
        <f>HYPERLINK("https://klasma.github.io/Logging_0882/tillsyn/A 38317-2021 tillsynsbegäran.docx", "A 38317-2021")</f>
        <v/>
      </c>
      <c r="Y47">
        <f>HYPERLINK("https://klasma.github.io/Logging_0882/tillsynsmail/A 38317-2021 tillsynsbegäran mail.docx", "A 38317-2021")</f>
        <v/>
      </c>
      <c r="Z47">
        <f>HYPERLINK("https://klasma.github.io/Logging_0882/fåglar/A 38317-2021 prioriterade fågelarter.docx", "A 38317-2021")</f>
        <v/>
      </c>
    </row>
    <row r="48" ht="15" customHeight="1">
      <c r="A48" t="inlineStr">
        <is>
          <t>A 38954-2021</t>
        </is>
      </c>
      <c r="B48" s="1" t="n">
        <v>44411</v>
      </c>
      <c r="C48" s="1" t="n">
        <v>45337</v>
      </c>
      <c r="D48" t="inlineStr">
        <is>
          <t>KALMAR LÄN</t>
        </is>
      </c>
      <c r="E48" t="inlineStr">
        <is>
          <t>OSKARSHAMN</t>
        </is>
      </c>
      <c r="G48" t="n">
        <v>7.3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38954-2021 artfynd.xlsx", "A 38954-2021")</f>
        <v/>
      </c>
      <c r="T48">
        <f>HYPERLINK("https://klasma.github.io/Logging_0882/kartor/A 38954-2021 karta.png", "A 38954-2021")</f>
        <v/>
      </c>
      <c r="V48">
        <f>HYPERLINK("https://klasma.github.io/Logging_0882/klagomål/A 38954-2021 FSC-klagomål.docx", "A 38954-2021")</f>
        <v/>
      </c>
      <c r="W48">
        <f>HYPERLINK("https://klasma.github.io/Logging_0882/klagomålsmail/A 38954-2021 FSC-klagomål mail.docx", "A 38954-2021")</f>
        <v/>
      </c>
      <c r="X48">
        <f>HYPERLINK("https://klasma.github.io/Logging_0882/tillsyn/A 38954-2021 tillsynsbegäran.docx", "A 38954-2021")</f>
        <v/>
      </c>
      <c r="Y48">
        <f>HYPERLINK("https://klasma.github.io/Logging_0882/tillsynsmail/A 38954-2021 tillsynsbegäran mail.docx", "A 38954-2021")</f>
        <v/>
      </c>
      <c r="Z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s="1" t="n">
        <v>44427</v>
      </c>
      <c r="C49" s="1" t="n">
        <v>45337</v>
      </c>
      <c r="D49" t="inlineStr">
        <is>
          <t>KALMAR LÄN</t>
        </is>
      </c>
      <c r="E49" t="inlineStr">
        <is>
          <t>OSKARSHAMN</t>
        </is>
      </c>
      <c r="G49" t="n">
        <v>29.4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HYPERLINK("https://klasma.github.io/Logging_0882/artfynd/A 42374-2021 artfynd.xlsx", "A 42374-2021")</f>
        <v/>
      </c>
      <c r="T49">
        <f>HYPERLINK("https://klasma.github.io/Logging_0882/kartor/A 42374-2021 karta.png", "A 42374-2021")</f>
        <v/>
      </c>
      <c r="V49">
        <f>HYPERLINK("https://klasma.github.io/Logging_0882/klagomål/A 42374-2021 FSC-klagomål.docx", "A 42374-2021")</f>
        <v/>
      </c>
      <c r="W49">
        <f>HYPERLINK("https://klasma.github.io/Logging_0882/klagomålsmail/A 42374-2021 FSC-klagomål mail.docx", "A 42374-2021")</f>
        <v/>
      </c>
      <c r="X49">
        <f>HYPERLINK("https://klasma.github.io/Logging_0882/tillsyn/A 42374-2021 tillsynsbegäran.docx", "A 42374-2021")</f>
        <v/>
      </c>
      <c r="Y49">
        <f>HYPERLINK("https://klasma.github.io/Logging_0882/tillsynsmail/A 42374-2021 tillsynsbegäran mail.docx", "A 42374-2021")</f>
        <v/>
      </c>
      <c r="Z49">
        <f>HYPERLINK("https://klasma.github.io/Logging_0882/fåglar/A 42374-2021 prioriterade fågelarter.docx", "A 42374-2021")</f>
        <v/>
      </c>
    </row>
    <row r="50" ht="15" customHeight="1">
      <c r="A50" t="inlineStr">
        <is>
          <t>A 52162-2021</t>
        </is>
      </c>
      <c r="B50" s="1" t="n">
        <v>44463</v>
      </c>
      <c r="C50" s="1" t="n">
        <v>45337</v>
      </c>
      <c r="D50" t="inlineStr">
        <is>
          <t>KALMAR LÄN</t>
        </is>
      </c>
      <c r="E50" t="inlineStr">
        <is>
          <t>OSKARSHAMN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HYPERLINK("https://klasma.github.io/Logging_0882/artfynd/A 52162-2021 artfynd.xlsx", "A 52162-2021")</f>
        <v/>
      </c>
      <c r="T50">
        <f>HYPERLINK("https://klasma.github.io/Logging_0882/kartor/A 52162-2021 karta.png", "A 52162-2021")</f>
        <v/>
      </c>
      <c r="V50">
        <f>HYPERLINK("https://klasma.github.io/Logging_0882/klagomål/A 52162-2021 FSC-klagomål.docx", "A 52162-2021")</f>
        <v/>
      </c>
      <c r="W50">
        <f>HYPERLINK("https://klasma.github.io/Logging_0882/klagomålsmail/A 52162-2021 FSC-klagomål mail.docx", "A 52162-2021")</f>
        <v/>
      </c>
      <c r="X50">
        <f>HYPERLINK("https://klasma.github.io/Logging_0882/tillsyn/A 52162-2021 tillsynsbegäran.docx", "A 52162-2021")</f>
        <v/>
      </c>
      <c r="Y50">
        <f>HYPERLINK("https://klasma.github.io/Logging_0882/tillsynsmail/A 52162-2021 tillsynsbegäran mail.docx", "A 52162-2021")</f>
        <v/>
      </c>
    </row>
    <row r="51" ht="15" customHeight="1">
      <c r="A51" t="inlineStr">
        <is>
          <t>A 59683-2021</t>
        </is>
      </c>
      <c r="B51" s="1" t="n">
        <v>44494</v>
      </c>
      <c r="C51" s="1" t="n">
        <v>45337</v>
      </c>
      <c r="D51" t="inlineStr">
        <is>
          <t>KALMAR LÄN</t>
        </is>
      </c>
      <c r="E51" t="inlineStr">
        <is>
          <t>OSKARSHAMN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59683-2021 artfynd.xlsx", "A 59683-2021")</f>
        <v/>
      </c>
      <c r="T51">
        <f>HYPERLINK("https://klasma.github.io/Logging_0882/kartor/A 59683-2021 karta.png", "A 59683-2021")</f>
        <v/>
      </c>
      <c r="V51">
        <f>HYPERLINK("https://klasma.github.io/Logging_0882/klagomål/A 59683-2021 FSC-klagomål.docx", "A 59683-2021")</f>
        <v/>
      </c>
      <c r="W51">
        <f>HYPERLINK("https://klasma.github.io/Logging_0882/klagomålsmail/A 59683-2021 FSC-klagomål mail.docx", "A 59683-2021")</f>
        <v/>
      </c>
      <c r="X51">
        <f>HYPERLINK("https://klasma.github.io/Logging_0882/tillsyn/A 59683-2021 tillsynsbegäran.docx", "A 59683-2021")</f>
        <v/>
      </c>
      <c r="Y51">
        <f>HYPERLINK("https://klasma.github.io/Logging_0882/tillsynsmail/A 59683-2021 tillsynsbegäran mail.docx", "A 59683-2021")</f>
        <v/>
      </c>
      <c r="Z51">
        <f>HYPERLINK("https://klasma.github.io/Logging_0882/fåglar/A 59683-2021 prioriterade fågelarter.docx", "A 59683-2021")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45337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32030-2022</t>
        </is>
      </c>
      <c r="B53" s="1" t="n">
        <v>44778</v>
      </c>
      <c r="C53" s="1" t="n">
        <v>45337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32030-2022 artfynd.xlsx", "A 32030-2022")</f>
        <v/>
      </c>
      <c r="T53">
        <f>HYPERLINK("https://klasma.github.io/Logging_0882/kartor/A 32030-2022 karta.png", "A 32030-2022")</f>
        <v/>
      </c>
      <c r="V53">
        <f>HYPERLINK("https://klasma.github.io/Logging_0882/klagomål/A 32030-2022 FSC-klagomål.docx", "A 32030-2022")</f>
        <v/>
      </c>
      <c r="W53">
        <f>HYPERLINK("https://klasma.github.io/Logging_0882/klagomålsmail/A 32030-2022 FSC-klagomål mail.docx", "A 32030-2022")</f>
        <v/>
      </c>
      <c r="X53">
        <f>HYPERLINK("https://klasma.github.io/Logging_0882/tillsyn/A 32030-2022 tillsynsbegäran.docx", "A 32030-2022")</f>
        <v/>
      </c>
      <c r="Y53">
        <f>HYPERLINK("https://klasma.github.io/Logging_0882/tillsynsmail/A 32030-2022 tillsynsbegäran mail.docx", "A 32030-2022")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45337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40258-2022</t>
        </is>
      </c>
      <c r="B55" s="1" t="n">
        <v>44820</v>
      </c>
      <c r="C55" s="1" t="n">
        <v>45337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HYPERLINK("https://klasma.github.io/Logging_0882/artfynd/A 40258-2022 artfynd.xlsx", "A 40258-2022")</f>
        <v/>
      </c>
      <c r="T55">
        <f>HYPERLINK("https://klasma.github.io/Logging_0882/kartor/A 40258-2022 karta.png", "A 40258-2022")</f>
        <v/>
      </c>
      <c r="V55">
        <f>HYPERLINK("https://klasma.github.io/Logging_0882/klagomål/A 40258-2022 FSC-klagomål.docx", "A 40258-2022")</f>
        <v/>
      </c>
      <c r="W55">
        <f>HYPERLINK("https://klasma.github.io/Logging_0882/klagomålsmail/A 40258-2022 FSC-klagomål mail.docx", "A 40258-2022")</f>
        <v/>
      </c>
      <c r="X55">
        <f>HYPERLINK("https://klasma.github.io/Logging_0882/tillsyn/A 40258-2022 tillsynsbegäran.docx", "A 40258-2022")</f>
        <v/>
      </c>
      <c r="Y55">
        <f>HYPERLINK("https://klasma.github.io/Logging_0882/tillsynsmail/A 40258-2022 tillsynsbegäran mail.docx", "A 40258-2022")</f>
        <v/>
      </c>
    </row>
    <row r="56" ht="15" customHeight="1">
      <c r="A56" t="inlineStr">
        <is>
          <t>A 48442-2022</t>
        </is>
      </c>
      <c r="B56" s="1" t="n">
        <v>44858</v>
      </c>
      <c r="C56" s="1" t="n">
        <v>45337</v>
      </c>
      <c r="D56" t="inlineStr">
        <is>
          <t>KALMAR LÄN</t>
        </is>
      </c>
      <c r="E56" t="inlineStr">
        <is>
          <t>OSKARSHAMN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HYPERLINK("https://klasma.github.io/Logging_0882/artfynd/A 48442-2022 artfynd.xlsx", "A 48442-2022")</f>
        <v/>
      </c>
      <c r="T56">
        <f>HYPERLINK("https://klasma.github.io/Logging_0882/kartor/A 48442-2022 karta.png", "A 48442-2022")</f>
        <v/>
      </c>
      <c r="V56">
        <f>HYPERLINK("https://klasma.github.io/Logging_0882/klagomål/A 48442-2022 FSC-klagomål.docx", "A 48442-2022")</f>
        <v/>
      </c>
      <c r="W56">
        <f>HYPERLINK("https://klasma.github.io/Logging_0882/klagomålsmail/A 48442-2022 FSC-klagomål mail.docx", "A 48442-2022")</f>
        <v/>
      </c>
      <c r="X56">
        <f>HYPERLINK("https://klasma.github.io/Logging_0882/tillsyn/A 48442-2022 tillsynsbegäran.docx", "A 48442-2022")</f>
        <v/>
      </c>
      <c r="Y56">
        <f>HYPERLINK("https://klasma.github.io/Logging_0882/tillsynsmail/A 48442-2022 tillsynsbegäran mail.docx", "A 48442-2022")</f>
        <v/>
      </c>
    </row>
    <row r="57" ht="15" customHeight="1">
      <c r="A57" t="inlineStr">
        <is>
          <t>A 8722-2023</t>
        </is>
      </c>
      <c r="B57" s="1" t="n">
        <v>44978</v>
      </c>
      <c r="C57" s="1" t="n">
        <v>45337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8722-2023 artfynd.xlsx", "A 8722-2023")</f>
        <v/>
      </c>
      <c r="T57">
        <f>HYPERLINK("https://klasma.github.io/Logging_0882/kartor/A 8722-2023 karta.png", "A 8722-2023")</f>
        <v/>
      </c>
      <c r="V57">
        <f>HYPERLINK("https://klasma.github.io/Logging_0882/klagomål/A 8722-2023 FSC-klagomål.docx", "A 8722-2023")</f>
        <v/>
      </c>
      <c r="W57">
        <f>HYPERLINK("https://klasma.github.io/Logging_0882/klagomålsmail/A 8722-2023 FSC-klagomål mail.docx", "A 8722-2023")</f>
        <v/>
      </c>
      <c r="X57">
        <f>HYPERLINK("https://klasma.github.io/Logging_0882/tillsyn/A 8722-2023 tillsynsbegäran.docx", "A 8722-2023")</f>
        <v/>
      </c>
      <c r="Y57">
        <f>HYPERLINK("https://klasma.github.io/Logging_0882/tillsynsmail/A 8722-2023 tillsynsbegäran mail.docx", "A 8722-2023")</f>
        <v/>
      </c>
    </row>
    <row r="58" ht="15" customHeight="1">
      <c r="A58" t="inlineStr">
        <is>
          <t>A 27854-2023</t>
        </is>
      </c>
      <c r="B58" s="1" t="n">
        <v>45098</v>
      </c>
      <c r="C58" s="1" t="n">
        <v>45337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43009-2023</t>
        </is>
      </c>
      <c r="B59" s="1" t="n">
        <v>45182</v>
      </c>
      <c r="C59" s="1" t="n">
        <v>45337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43009-2023 artfynd.xlsx", "A 43009-2023")</f>
        <v/>
      </c>
      <c r="T59">
        <f>HYPERLINK("https://klasma.github.io/Logging_0882/kartor/A 43009-2023 karta.png", "A 43009-2023")</f>
        <v/>
      </c>
      <c r="V59">
        <f>HYPERLINK("https://klasma.github.io/Logging_0882/klagomål/A 43009-2023 FSC-klagomål.docx", "A 43009-2023")</f>
        <v/>
      </c>
      <c r="W59">
        <f>HYPERLINK("https://klasma.github.io/Logging_0882/klagomålsmail/A 43009-2023 FSC-klagomål mail.docx", "A 43009-2023")</f>
        <v/>
      </c>
      <c r="X59">
        <f>HYPERLINK("https://klasma.github.io/Logging_0882/tillsyn/A 43009-2023 tillsynsbegäran.docx", "A 43009-2023")</f>
        <v/>
      </c>
      <c r="Y59">
        <f>HYPERLINK("https://klasma.github.io/Logging_0882/tillsynsmail/A 43009-2023 tillsynsbegäran mail.docx", "A 43009-2023")</f>
        <v/>
      </c>
    </row>
    <row r="60" ht="15" customHeight="1">
      <c r="A60" t="inlineStr">
        <is>
          <t>A 45836-2023</t>
        </is>
      </c>
      <c r="B60" s="1" t="n">
        <v>45195</v>
      </c>
      <c r="C60" s="1" t="n">
        <v>45337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45836-2023 artfynd.xlsx", "A 45836-2023")</f>
        <v/>
      </c>
      <c r="T60">
        <f>HYPERLINK("https://klasma.github.io/Logging_0882/kartor/A 45836-2023 karta.png", "A 45836-2023")</f>
        <v/>
      </c>
      <c r="V60">
        <f>HYPERLINK("https://klasma.github.io/Logging_0882/klagomål/A 45836-2023 FSC-klagomål.docx", "A 45836-2023")</f>
        <v/>
      </c>
      <c r="W60">
        <f>HYPERLINK("https://klasma.github.io/Logging_0882/klagomålsmail/A 45836-2023 FSC-klagomål mail.docx", "A 45836-2023")</f>
        <v/>
      </c>
      <c r="X60">
        <f>HYPERLINK("https://klasma.github.io/Logging_0882/tillsyn/A 45836-2023 tillsynsbegäran.docx", "A 45836-2023")</f>
        <v/>
      </c>
      <c r="Y60">
        <f>HYPERLINK("https://klasma.github.io/Logging_0882/tillsynsmail/A 45836-2023 tillsynsbegäran mail.docx", "A 45836-2023")</f>
        <v/>
      </c>
    </row>
    <row r="61" ht="15" customHeight="1">
      <c r="A61" t="inlineStr">
        <is>
          <t>A 52211-2023</t>
        </is>
      </c>
      <c r="B61" s="1" t="n">
        <v>45224</v>
      </c>
      <c r="C61" s="1" t="n">
        <v>45337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54179-2023</t>
        </is>
      </c>
      <c r="B62" s="1" t="n">
        <v>45225</v>
      </c>
      <c r="C62" s="1" t="n">
        <v>45337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Klubbsprötad bastardsvärmare</t>
        </is>
      </c>
      <c r="S62">
        <f>HYPERLINK("https://klasma.github.io/Logging_0882/artfynd/A 54179-2023 artfynd.xlsx", "A 54179-2023")</f>
        <v/>
      </c>
      <c r="T62">
        <f>HYPERLINK("https://klasma.github.io/Logging_0882/kartor/A 54179-2023 karta.png", "A 54179-2023")</f>
        <v/>
      </c>
      <c r="V62">
        <f>HYPERLINK("https://klasma.github.io/Logging_0882/klagomål/A 54179-2023 FSC-klagomål.docx", "A 54179-2023")</f>
        <v/>
      </c>
      <c r="W62">
        <f>HYPERLINK("https://klasma.github.io/Logging_0882/klagomålsmail/A 54179-2023 FSC-klagomål mail.docx", "A 54179-2023")</f>
        <v/>
      </c>
      <c r="X62">
        <f>HYPERLINK("https://klasma.github.io/Logging_0882/tillsyn/A 54179-2023 tillsynsbegäran.docx", "A 54179-2023")</f>
        <v/>
      </c>
      <c r="Y62">
        <f>HYPERLINK("https://klasma.github.io/Logging_0882/tillsynsmail/A 54179-2023 tillsynsbegäran mail.docx", "A 54179-2023")</f>
        <v/>
      </c>
    </row>
    <row r="63" ht="15" customHeight="1">
      <c r="A63" t="inlineStr">
        <is>
          <t>A 37684-2018</t>
        </is>
      </c>
      <c r="B63" s="1" t="n">
        <v>43335</v>
      </c>
      <c r="C63" s="1" t="n">
        <v>45337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37850-2018</t>
        </is>
      </c>
      <c r="B64" s="1" t="n">
        <v>43335</v>
      </c>
      <c r="C64" s="1" t="n">
        <v>45337</v>
      </c>
      <c r="D64" t="inlineStr">
        <is>
          <t>KALMAR LÄN</t>
        </is>
      </c>
      <c r="E64" t="inlineStr">
        <is>
          <t>OSKARSHAMN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37849-2018</t>
        </is>
      </c>
      <c r="B65" s="1" t="n">
        <v>43335</v>
      </c>
      <c r="C65" s="1" t="n">
        <v>45337</v>
      </c>
      <c r="D65" t="inlineStr">
        <is>
          <t>KALMAR LÄN</t>
        </is>
      </c>
      <c r="E65" t="inlineStr">
        <is>
          <t>OSKARSHAMN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38420-2018</t>
        </is>
      </c>
      <c r="B66" s="1" t="n">
        <v>43339</v>
      </c>
      <c r="C66" s="1" t="n">
        <v>45337</v>
      </c>
      <c r="D66" t="inlineStr">
        <is>
          <t>KALMAR LÄN</t>
        </is>
      </c>
      <c r="E66" t="inlineStr">
        <is>
          <t>OSKARSHAMN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39368-2018</t>
        </is>
      </c>
      <c r="B67" s="1" t="n">
        <v>43340</v>
      </c>
      <c r="C67" s="1" t="n">
        <v>45337</v>
      </c>
      <c r="D67" t="inlineStr">
        <is>
          <t>KALMAR LÄN</t>
        </is>
      </c>
      <c r="E67" t="inlineStr">
        <is>
          <t>OSKARSHAMN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43840-2018</t>
        </is>
      </c>
      <c r="B68" s="1" t="n">
        <v>43357</v>
      </c>
      <c r="C68" s="1" t="n">
        <v>45337</v>
      </c>
      <c r="D68" t="inlineStr">
        <is>
          <t>KALMAR LÄN</t>
        </is>
      </c>
      <c r="E68" t="inlineStr">
        <is>
          <t>OSKARSHAMN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47750-2018</t>
        </is>
      </c>
      <c r="B69" s="1" t="n">
        <v>43369</v>
      </c>
      <c r="C69" s="1" t="n">
        <v>45337</v>
      </c>
      <c r="D69" t="inlineStr">
        <is>
          <t>KALMAR LÄN</t>
        </is>
      </c>
      <c r="E69" t="inlineStr">
        <is>
          <t>OSKARSHAMN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47752-2018</t>
        </is>
      </c>
      <c r="B70" s="1" t="n">
        <v>43369</v>
      </c>
      <c r="C70" s="1" t="n">
        <v>45337</v>
      </c>
      <c r="D70" t="inlineStr">
        <is>
          <t>KALMAR LÄN</t>
        </is>
      </c>
      <c r="E70" t="inlineStr">
        <is>
          <t>OSKARSHAMN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50934-2018</t>
        </is>
      </c>
      <c r="B71" s="1" t="n">
        <v>43377</v>
      </c>
      <c r="C71" s="1" t="n">
        <v>45337</v>
      </c>
      <c r="D71" t="inlineStr">
        <is>
          <t>KALMAR LÄN</t>
        </is>
      </c>
      <c r="E71" t="inlineStr">
        <is>
          <t>OSKARSHAMN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59017-2018</t>
        </is>
      </c>
      <c r="B72" s="1" t="n">
        <v>43402</v>
      </c>
      <c r="C72" s="1" t="n">
        <v>45337</v>
      </c>
      <c r="D72" t="inlineStr">
        <is>
          <t>KALMAR LÄN</t>
        </is>
      </c>
      <c r="E72" t="inlineStr">
        <is>
          <t>OSKARSHAMN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59240-2018</t>
        </is>
      </c>
      <c r="B73" s="1" t="n">
        <v>43403</v>
      </c>
      <c r="C73" s="1" t="n">
        <v>45337</v>
      </c>
      <c r="D73" t="inlineStr">
        <is>
          <t>KALMAR LÄN</t>
        </is>
      </c>
      <c r="E73" t="inlineStr">
        <is>
          <t>OSKARSHAMN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57153-2018</t>
        </is>
      </c>
      <c r="B74" s="1" t="n">
        <v>43403</v>
      </c>
      <c r="C74" s="1" t="n">
        <v>45337</v>
      </c>
      <c r="D74" t="inlineStr">
        <is>
          <t>KALMAR LÄN</t>
        </is>
      </c>
      <c r="E74" t="inlineStr">
        <is>
          <t>OSKARSHAMN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59468-2018</t>
        </is>
      </c>
      <c r="B75" s="1" t="n">
        <v>43404</v>
      </c>
      <c r="C75" s="1" t="n">
        <v>45337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59465-2018</t>
        </is>
      </c>
      <c r="B76" s="1" t="n">
        <v>43404</v>
      </c>
      <c r="C76" s="1" t="n">
        <v>45337</v>
      </c>
      <c r="D76" t="inlineStr">
        <is>
          <t>KALMAR LÄN</t>
        </is>
      </c>
      <c r="E76" t="inlineStr">
        <is>
          <t>OSKARSHAMN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61950-2018</t>
        </is>
      </c>
      <c r="B77" s="1" t="n">
        <v>43413</v>
      </c>
      <c r="C77" s="1" t="n">
        <v>45337</v>
      </c>
      <c r="D77" t="inlineStr">
        <is>
          <t>KALMAR LÄN</t>
        </is>
      </c>
      <c r="E77" t="inlineStr">
        <is>
          <t>OSKARSHAMN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60487-2018</t>
        </is>
      </c>
      <c r="B78" s="1" t="n">
        <v>43420</v>
      </c>
      <c r="C78" s="1" t="n">
        <v>45337</v>
      </c>
      <c r="D78" t="inlineStr">
        <is>
          <t>KALMAR LÄN</t>
        </is>
      </c>
      <c r="E78" t="inlineStr">
        <is>
          <t>OSKARSHAMN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60472-2018</t>
        </is>
      </c>
      <c r="B79" s="1" t="n">
        <v>43420</v>
      </c>
      <c r="C79" s="1" t="n">
        <v>45337</v>
      </c>
      <c r="D79" t="inlineStr">
        <is>
          <t>KALMAR LÄN</t>
        </is>
      </c>
      <c r="E79" t="inlineStr">
        <is>
          <t>OSKARSHAMN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60469-2018</t>
        </is>
      </c>
      <c r="B80" s="1" t="n">
        <v>43420</v>
      </c>
      <c r="C80" s="1" t="n">
        <v>45337</v>
      </c>
      <c r="D80" t="inlineStr">
        <is>
          <t>KALMAR LÄN</t>
        </is>
      </c>
      <c r="E80" t="inlineStr">
        <is>
          <t>OSKARSHAMN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60484-2018</t>
        </is>
      </c>
      <c r="B81" s="1" t="n">
        <v>43420</v>
      </c>
      <c r="C81" s="1" t="n">
        <v>45337</v>
      </c>
      <c r="D81" t="inlineStr">
        <is>
          <t>KALMAR LÄN</t>
        </is>
      </c>
      <c r="E81" t="inlineStr">
        <is>
          <t>OSKARSHAMN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60764-2018</t>
        </is>
      </c>
      <c r="B82" s="1" t="n">
        <v>43421</v>
      </c>
      <c r="C82" s="1" t="n">
        <v>45337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60765-2018</t>
        </is>
      </c>
      <c r="B83" s="1" t="n">
        <v>43421</v>
      </c>
      <c r="C83" s="1" t="n">
        <v>45337</v>
      </c>
      <c r="D83" t="inlineStr">
        <is>
          <t>KALMAR LÄN</t>
        </is>
      </c>
      <c r="E83" t="inlineStr">
        <is>
          <t>OSKARSHAMN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60859-2018</t>
        </is>
      </c>
      <c r="B84" s="1" t="n">
        <v>43422</v>
      </c>
      <c r="C84" s="1" t="n">
        <v>45337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61605-2018</t>
        </is>
      </c>
      <c r="B85" s="1" t="n">
        <v>43424</v>
      </c>
      <c r="C85" s="1" t="n">
        <v>45337</v>
      </c>
      <c r="D85" t="inlineStr">
        <is>
          <t>KALMAR LÄN</t>
        </is>
      </c>
      <c r="E85" t="inlineStr">
        <is>
          <t>OSKARSHAMN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61600-2018</t>
        </is>
      </c>
      <c r="B86" s="1" t="n">
        <v>43424</v>
      </c>
      <c r="C86" s="1" t="n">
        <v>45337</v>
      </c>
      <c r="D86" t="inlineStr">
        <is>
          <t>KALMAR LÄN</t>
        </is>
      </c>
      <c r="E86" t="inlineStr">
        <is>
          <t>OSKARSHAMN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61664-2018</t>
        </is>
      </c>
      <c r="B87" s="1" t="n">
        <v>43424</v>
      </c>
      <c r="C87" s="1" t="n">
        <v>45337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63549-2018</t>
        </is>
      </c>
      <c r="B88" s="1" t="n">
        <v>43427</v>
      </c>
      <c r="C88" s="1" t="n">
        <v>45337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63952-2018</t>
        </is>
      </c>
      <c r="B89" s="1" t="n">
        <v>43430</v>
      </c>
      <c r="C89" s="1" t="n">
        <v>45337</v>
      </c>
      <c r="D89" t="inlineStr">
        <is>
          <t>KALMAR LÄN</t>
        </is>
      </c>
      <c r="E89" t="inlineStr">
        <is>
          <t>OSKARSHAMN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65338-2018</t>
        </is>
      </c>
      <c r="B90" s="1" t="n">
        <v>43432</v>
      </c>
      <c r="C90" s="1" t="n">
        <v>45337</v>
      </c>
      <c r="D90" t="inlineStr">
        <is>
          <t>KALMAR LÄN</t>
        </is>
      </c>
      <c r="E90" t="inlineStr">
        <is>
          <t>OSKARSHAMN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67644-2018</t>
        </is>
      </c>
      <c r="B91" s="1" t="n">
        <v>43440</v>
      </c>
      <c r="C91" s="1" t="n">
        <v>45337</v>
      </c>
      <c r="D91" t="inlineStr">
        <is>
          <t>KALMAR LÄN</t>
        </is>
      </c>
      <c r="E91" t="inlineStr">
        <is>
          <t>OSKARSHAMN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69697-2018</t>
        </is>
      </c>
      <c r="B92" s="1" t="n">
        <v>43447</v>
      </c>
      <c r="C92" s="1" t="n">
        <v>45337</v>
      </c>
      <c r="D92" t="inlineStr">
        <is>
          <t>KALMAR LÄN</t>
        </is>
      </c>
      <c r="E92" t="inlineStr">
        <is>
          <t>OSKARSHAMN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69706-2018</t>
        </is>
      </c>
      <c r="B93" s="1" t="n">
        <v>43447</v>
      </c>
      <c r="C93" s="1" t="n">
        <v>45337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70715-2018</t>
        </is>
      </c>
      <c r="B94" s="1" t="n">
        <v>43447</v>
      </c>
      <c r="C94" s="1" t="n">
        <v>45337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69872-2018</t>
        </is>
      </c>
      <c r="B95" s="1" t="n">
        <v>43447</v>
      </c>
      <c r="C95" s="1" t="n">
        <v>45337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71061-2018</t>
        </is>
      </c>
      <c r="B96" s="1" t="n">
        <v>43452</v>
      </c>
      <c r="C96" s="1" t="n">
        <v>45337</v>
      </c>
      <c r="D96" t="inlineStr">
        <is>
          <t>KALMAR LÄN</t>
        </is>
      </c>
      <c r="E96" t="inlineStr">
        <is>
          <t>OSKARSHAMN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71060-2018</t>
        </is>
      </c>
      <c r="B97" s="1" t="n">
        <v>43452</v>
      </c>
      <c r="C97" s="1" t="n">
        <v>45337</v>
      </c>
      <c r="D97" t="inlineStr">
        <is>
          <t>KALMAR LÄN</t>
        </is>
      </c>
      <c r="E97" t="inlineStr">
        <is>
          <t>OSKARSHAMN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72133-2018</t>
        </is>
      </c>
      <c r="B98" s="1" t="n">
        <v>43453</v>
      </c>
      <c r="C98" s="1" t="n">
        <v>45337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71640-2018</t>
        </is>
      </c>
      <c r="B99" s="1" t="n">
        <v>43454</v>
      </c>
      <c r="C99" s="1" t="n">
        <v>45337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534-2019</t>
        </is>
      </c>
      <c r="B100" s="1" t="n">
        <v>43455</v>
      </c>
      <c r="C100" s="1" t="n">
        <v>45337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72647-2018</t>
        </is>
      </c>
      <c r="B101" s="1" t="n">
        <v>43465</v>
      </c>
      <c r="C101" s="1" t="n">
        <v>45337</v>
      </c>
      <c r="D101" t="inlineStr">
        <is>
          <t>KALMAR LÄN</t>
        </is>
      </c>
      <c r="E101" t="inlineStr">
        <is>
          <t>OSKARSHAMN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72646-2018</t>
        </is>
      </c>
      <c r="B102" s="1" t="n">
        <v>43465</v>
      </c>
      <c r="C102" s="1" t="n">
        <v>45337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686-2019</t>
        </is>
      </c>
      <c r="B103" s="1" t="n">
        <v>43469</v>
      </c>
      <c r="C103" s="1" t="n">
        <v>45337</v>
      </c>
      <c r="D103" t="inlineStr">
        <is>
          <t>KALMAR LÄN</t>
        </is>
      </c>
      <c r="E103" t="inlineStr">
        <is>
          <t>OSKARSHAMN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719-2019</t>
        </is>
      </c>
      <c r="B104" s="1" t="n">
        <v>43471</v>
      </c>
      <c r="C104" s="1" t="n">
        <v>45337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1034-2019</t>
        </is>
      </c>
      <c r="B105" s="1" t="n">
        <v>43472</v>
      </c>
      <c r="C105" s="1" t="n">
        <v>45337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1519-2019</t>
        </is>
      </c>
      <c r="B106" s="1" t="n">
        <v>43473</v>
      </c>
      <c r="C106" s="1" t="n">
        <v>45337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3694-2019</t>
        </is>
      </c>
      <c r="B107" s="1" t="n">
        <v>43474</v>
      </c>
      <c r="C107" s="1" t="n">
        <v>45337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2235-2019</t>
        </is>
      </c>
      <c r="B108" s="1" t="n">
        <v>43475</v>
      </c>
      <c r="C108" s="1" t="n">
        <v>45337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2474-2019</t>
        </is>
      </c>
      <c r="B109" s="1" t="n">
        <v>43476</v>
      </c>
      <c r="C109" s="1" t="n">
        <v>45337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2653-2019</t>
        </is>
      </c>
      <c r="B110" s="1" t="n">
        <v>43478</v>
      </c>
      <c r="C110" s="1" t="n">
        <v>45337</v>
      </c>
      <c r="D110" t="inlineStr">
        <is>
          <t>KALMAR LÄN</t>
        </is>
      </c>
      <c r="E110" t="inlineStr">
        <is>
          <t>OSKARSHAMN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2844-2019</t>
        </is>
      </c>
      <c r="B111" s="1" t="n">
        <v>43479</v>
      </c>
      <c r="C111" s="1" t="n">
        <v>45337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3980-2019</t>
        </is>
      </c>
      <c r="B112" s="1" t="n">
        <v>43482</v>
      </c>
      <c r="C112" s="1" t="n">
        <v>45337</v>
      </c>
      <c r="D112" t="inlineStr">
        <is>
          <t>KALMAR LÄN</t>
        </is>
      </c>
      <c r="E112" t="inlineStr">
        <is>
          <t>OSKARSHAMN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4459-2019</t>
        </is>
      </c>
      <c r="B113" s="1" t="n">
        <v>43485</v>
      </c>
      <c r="C113" s="1" t="n">
        <v>45337</v>
      </c>
      <c r="D113" t="inlineStr">
        <is>
          <t>KALMAR LÄN</t>
        </is>
      </c>
      <c r="E113" t="inlineStr">
        <is>
          <t>OSKARSHAMN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4636-2019</t>
        </is>
      </c>
      <c r="B114" s="1" t="n">
        <v>43486</v>
      </c>
      <c r="C114" s="1" t="n">
        <v>45337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4665-2019</t>
        </is>
      </c>
      <c r="B115" s="1" t="n">
        <v>43486</v>
      </c>
      <c r="C115" s="1" t="n">
        <v>45337</v>
      </c>
      <c r="D115" t="inlineStr">
        <is>
          <t>KALMAR LÄN</t>
        </is>
      </c>
      <c r="E115" t="inlineStr">
        <is>
          <t>OSKARSHAMN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4629-2019</t>
        </is>
      </c>
      <c r="B116" s="1" t="n">
        <v>43486</v>
      </c>
      <c r="C116" s="1" t="n">
        <v>45337</v>
      </c>
      <c r="D116" t="inlineStr">
        <is>
          <t>KALMAR LÄN</t>
        </is>
      </c>
      <c r="E116" t="inlineStr">
        <is>
          <t>OSKARSHAMN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5373-2019</t>
        </is>
      </c>
      <c r="B117" s="1" t="n">
        <v>43488</v>
      </c>
      <c r="C117" s="1" t="n">
        <v>45337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6346-2019</t>
        </is>
      </c>
      <c r="B118" s="1" t="n">
        <v>43493</v>
      </c>
      <c r="C118" s="1" t="n">
        <v>45337</v>
      </c>
      <c r="D118" t="inlineStr">
        <is>
          <t>KALMAR LÄN</t>
        </is>
      </c>
      <c r="E118" t="inlineStr">
        <is>
          <t>OSKARSHAMN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6240-2019</t>
        </is>
      </c>
      <c r="B119" s="1" t="n">
        <v>43493</v>
      </c>
      <c r="C119" s="1" t="n">
        <v>45337</v>
      </c>
      <c r="D119" t="inlineStr">
        <is>
          <t>KALMAR LÄN</t>
        </is>
      </c>
      <c r="E119" t="inlineStr">
        <is>
          <t>OSKARSHAMN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7703-2019</t>
        </is>
      </c>
      <c r="B120" s="1" t="n">
        <v>43500</v>
      </c>
      <c r="C120" s="1" t="n">
        <v>45337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7721-2019</t>
        </is>
      </c>
      <c r="B121" s="1" t="n">
        <v>43500</v>
      </c>
      <c r="C121" s="1" t="n">
        <v>45337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7709-2019</t>
        </is>
      </c>
      <c r="B122" s="1" t="n">
        <v>43500</v>
      </c>
      <c r="C122" s="1" t="n">
        <v>45337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9469-2019</t>
        </is>
      </c>
      <c r="B123" s="1" t="n">
        <v>43507</v>
      </c>
      <c r="C123" s="1" t="n">
        <v>45337</v>
      </c>
      <c r="D123" t="inlineStr">
        <is>
          <t>KALMAR LÄN</t>
        </is>
      </c>
      <c r="E123" t="inlineStr">
        <is>
          <t>OSKARSHAMN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9847-2019</t>
        </is>
      </c>
      <c r="B124" s="1" t="n">
        <v>43509</v>
      </c>
      <c r="C124" s="1" t="n">
        <v>45337</v>
      </c>
      <c r="D124" t="inlineStr">
        <is>
          <t>KALMAR LÄN</t>
        </is>
      </c>
      <c r="E124" t="inlineStr">
        <is>
          <t>OSKARSHAMN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10607-2019</t>
        </is>
      </c>
      <c r="B125" s="1" t="n">
        <v>43514</v>
      </c>
      <c r="C125" s="1" t="n">
        <v>45337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10605-2019</t>
        </is>
      </c>
      <c r="B126" s="1" t="n">
        <v>43514</v>
      </c>
      <c r="C126" s="1" t="n">
        <v>45337</v>
      </c>
      <c r="D126" t="inlineStr">
        <is>
          <t>KALMAR LÄN</t>
        </is>
      </c>
      <c r="E126" t="inlineStr">
        <is>
          <t>OSKARSHAMN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11123-2019</t>
        </is>
      </c>
      <c r="B127" s="1" t="n">
        <v>43516</v>
      </c>
      <c r="C127" s="1" t="n">
        <v>45337</v>
      </c>
      <c r="D127" t="inlineStr">
        <is>
          <t>KALMAR LÄN</t>
        </is>
      </c>
      <c r="E127" t="inlineStr">
        <is>
          <t>OSKARSHAMN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11632-2019</t>
        </is>
      </c>
      <c r="B128" s="1" t="n">
        <v>43517</v>
      </c>
      <c r="C128" s="1" t="n">
        <v>45337</v>
      </c>
      <c r="D128" t="inlineStr">
        <is>
          <t>KALMAR LÄN</t>
        </is>
      </c>
      <c r="E128" t="inlineStr">
        <is>
          <t>OSKARSHAMN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13380-2019</t>
        </is>
      </c>
      <c r="B129" s="1" t="n">
        <v>43528</v>
      </c>
      <c r="C129" s="1" t="n">
        <v>45337</v>
      </c>
      <c r="D129" t="inlineStr">
        <is>
          <t>KALMAR LÄN</t>
        </is>
      </c>
      <c r="E129" t="inlineStr">
        <is>
          <t>OSKARSHAMN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13494-2019</t>
        </is>
      </c>
      <c r="B130" s="1" t="n">
        <v>43529</v>
      </c>
      <c r="C130" s="1" t="n">
        <v>45337</v>
      </c>
      <c r="D130" t="inlineStr">
        <is>
          <t>KALMAR LÄN</t>
        </is>
      </c>
      <c r="E130" t="inlineStr">
        <is>
          <t>OSKARSHAMN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13751-2019</t>
        </is>
      </c>
      <c r="B131" s="1" t="n">
        <v>43531</v>
      </c>
      <c r="C131" s="1" t="n">
        <v>45337</v>
      </c>
      <c r="D131" t="inlineStr">
        <is>
          <t>KALMAR LÄN</t>
        </is>
      </c>
      <c r="E131" t="inlineStr">
        <is>
          <t>OSKARSHAMN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14403-2019</t>
        </is>
      </c>
      <c r="B132" s="1" t="n">
        <v>43536</v>
      </c>
      <c r="C132" s="1" t="n">
        <v>45337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14231-2019</t>
        </is>
      </c>
      <c r="B133" s="1" t="n">
        <v>43536</v>
      </c>
      <c r="C133" s="1" t="n">
        <v>45337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14859-2019</t>
        </is>
      </c>
      <c r="B134" s="1" t="n">
        <v>43538</v>
      </c>
      <c r="C134" s="1" t="n">
        <v>45337</v>
      </c>
      <c r="D134" t="inlineStr">
        <is>
          <t>KALMAR LÄN</t>
        </is>
      </c>
      <c r="E134" t="inlineStr">
        <is>
          <t>OSKARSHAMN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15424-2019</t>
        </is>
      </c>
      <c r="B135" s="1" t="n">
        <v>43542</v>
      </c>
      <c r="C135" s="1" t="n">
        <v>45337</v>
      </c>
      <c r="D135" t="inlineStr">
        <is>
          <t>KALMAR LÄN</t>
        </is>
      </c>
      <c r="E135" t="inlineStr">
        <is>
          <t>OSKARSHAMN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15400-2019</t>
        </is>
      </c>
      <c r="B136" s="1" t="n">
        <v>43542</v>
      </c>
      <c r="C136" s="1" t="n">
        <v>45337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15862-2019</t>
        </is>
      </c>
      <c r="B137" s="1" t="n">
        <v>43543</v>
      </c>
      <c r="C137" s="1" t="n">
        <v>45337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16096-2019</t>
        </is>
      </c>
      <c r="B138" s="1" t="n">
        <v>43544</v>
      </c>
      <c r="C138" s="1" t="n">
        <v>45337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16703-2019</t>
        </is>
      </c>
      <c r="B139" s="1" t="n">
        <v>43549</v>
      </c>
      <c r="C139" s="1" t="n">
        <v>45337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17222-2019</t>
        </is>
      </c>
      <c r="B140" s="1" t="n">
        <v>43552</v>
      </c>
      <c r="C140" s="1" t="n">
        <v>45337</v>
      </c>
      <c r="D140" t="inlineStr">
        <is>
          <t>KALMAR LÄN</t>
        </is>
      </c>
      <c r="E140" t="inlineStr">
        <is>
          <t>OSKARSHAMN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17329-2019</t>
        </is>
      </c>
      <c r="B141" s="1" t="n">
        <v>43552</v>
      </c>
      <c r="C141" s="1" t="n">
        <v>45337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17837-2019</t>
        </is>
      </c>
      <c r="B142" s="1" t="n">
        <v>43556</v>
      </c>
      <c r="C142" s="1" t="n">
        <v>45337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17945-2019</t>
        </is>
      </c>
      <c r="B143" s="1" t="n">
        <v>43557</v>
      </c>
      <c r="C143" s="1" t="n">
        <v>45337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17908-2019</t>
        </is>
      </c>
      <c r="B144" s="1" t="n">
        <v>43557</v>
      </c>
      <c r="C144" s="1" t="n">
        <v>45337</v>
      </c>
      <c r="D144" t="inlineStr">
        <is>
          <t>KALMAR LÄN</t>
        </is>
      </c>
      <c r="E144" t="inlineStr">
        <is>
          <t>OSKARSHAMN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18241-2019</t>
        </is>
      </c>
      <c r="B145" s="1" t="n">
        <v>43558</v>
      </c>
      <c r="C145" s="1" t="n">
        <v>45337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19618-2019</t>
        </is>
      </c>
      <c r="B146" s="1" t="n">
        <v>43566</v>
      </c>
      <c r="C146" s="1" t="n">
        <v>45337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20225-2019</t>
        </is>
      </c>
      <c r="B147" s="1" t="n">
        <v>43567</v>
      </c>
      <c r="C147" s="1" t="n">
        <v>45337</v>
      </c>
      <c r="D147" t="inlineStr">
        <is>
          <t>KALMAR LÄN</t>
        </is>
      </c>
      <c r="E147" t="inlineStr">
        <is>
          <t>OSKARSHAMN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21323-2019</t>
        </is>
      </c>
      <c r="B148" s="1" t="n">
        <v>43579</v>
      </c>
      <c r="C148" s="1" t="n">
        <v>45337</v>
      </c>
      <c r="D148" t="inlineStr">
        <is>
          <t>KALMAR LÄN</t>
        </is>
      </c>
      <c r="E148" t="inlineStr">
        <is>
          <t>OSKARSHAMN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22405-2019</t>
        </is>
      </c>
      <c r="B149" s="1" t="n">
        <v>43587</v>
      </c>
      <c r="C149" s="1" t="n">
        <v>45337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23831-2019</t>
        </is>
      </c>
      <c r="B150" s="1" t="n">
        <v>43595</v>
      </c>
      <c r="C150" s="1" t="n">
        <v>45337</v>
      </c>
      <c r="D150" t="inlineStr">
        <is>
          <t>KALMAR LÄN</t>
        </is>
      </c>
      <c r="E150" t="inlineStr">
        <is>
          <t>OSKARSHAMN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23773-2019</t>
        </is>
      </c>
      <c r="B151" s="1" t="n">
        <v>43595</v>
      </c>
      <c r="C151" s="1" t="n">
        <v>45337</v>
      </c>
      <c r="D151" t="inlineStr">
        <is>
          <t>KALMAR LÄN</t>
        </is>
      </c>
      <c r="E151" t="inlineStr">
        <is>
          <t>OSKARSHAMN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23819-2019</t>
        </is>
      </c>
      <c r="B152" s="1" t="n">
        <v>43595</v>
      </c>
      <c r="C152" s="1" t="n">
        <v>45337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23768-2019</t>
        </is>
      </c>
      <c r="B153" s="1" t="n">
        <v>43595</v>
      </c>
      <c r="C153" s="1" t="n">
        <v>45337</v>
      </c>
      <c r="D153" t="inlineStr">
        <is>
          <t>KALMAR LÄN</t>
        </is>
      </c>
      <c r="E153" t="inlineStr">
        <is>
          <t>OSKARSHAMN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26380-2019</t>
        </is>
      </c>
      <c r="B154" s="1" t="n">
        <v>43606</v>
      </c>
      <c r="C154" s="1" t="n">
        <v>45337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25585-2019</t>
        </is>
      </c>
      <c r="B155" s="1" t="n">
        <v>43607</v>
      </c>
      <c r="C155" s="1" t="n">
        <v>45337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25869-2019</t>
        </is>
      </c>
      <c r="B156" s="1" t="n">
        <v>43608</v>
      </c>
      <c r="C156" s="1" t="n">
        <v>45337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25870-2019</t>
        </is>
      </c>
      <c r="B157" s="1" t="n">
        <v>43608</v>
      </c>
      <c r="C157" s="1" t="n">
        <v>45337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25871-2019</t>
        </is>
      </c>
      <c r="B158" s="1" t="n">
        <v>43608</v>
      </c>
      <c r="C158" s="1" t="n">
        <v>45337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28038-2019</t>
        </is>
      </c>
      <c r="B159" s="1" t="n">
        <v>43613</v>
      </c>
      <c r="C159" s="1" t="n">
        <v>45337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27581-2019</t>
        </is>
      </c>
      <c r="B160" s="1" t="n">
        <v>43619</v>
      </c>
      <c r="C160" s="1" t="n">
        <v>45337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27534-2019</t>
        </is>
      </c>
      <c r="B161" s="1" t="n">
        <v>43619</v>
      </c>
      <c r="C161" s="1" t="n">
        <v>45337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27584-2019</t>
        </is>
      </c>
      <c r="B162" s="1" t="n">
        <v>43619</v>
      </c>
      <c r="C162" s="1" t="n">
        <v>45337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29605-2019</t>
        </is>
      </c>
      <c r="B163" s="1" t="n">
        <v>43630</v>
      </c>
      <c r="C163" s="1" t="n">
        <v>45337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29818-2019</t>
        </is>
      </c>
      <c r="B164" s="1" t="n">
        <v>43633</v>
      </c>
      <c r="C164" s="1" t="n">
        <v>45337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31021-2019</t>
        </is>
      </c>
      <c r="B165" s="1" t="n">
        <v>43640</v>
      </c>
      <c r="C165" s="1" t="n">
        <v>45337</v>
      </c>
      <c r="D165" t="inlineStr">
        <is>
          <t>KALMAR LÄN</t>
        </is>
      </c>
      <c r="E165" t="inlineStr">
        <is>
          <t>OSKARSHAMN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31041-2019</t>
        </is>
      </c>
      <c r="B166" s="1" t="n">
        <v>43640</v>
      </c>
      <c r="C166" s="1" t="n">
        <v>45337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31128-2019</t>
        </is>
      </c>
      <c r="B167" s="1" t="n">
        <v>43640</v>
      </c>
      <c r="C167" s="1" t="n">
        <v>45337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31509-2019</t>
        </is>
      </c>
      <c r="B168" s="1" t="n">
        <v>43641</v>
      </c>
      <c r="C168" s="1" t="n">
        <v>45337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32323-2019</t>
        </is>
      </c>
      <c r="B169" s="1" t="n">
        <v>43644</v>
      </c>
      <c r="C169" s="1" t="n">
        <v>45337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32329-2019</t>
        </is>
      </c>
      <c r="B170" s="1" t="n">
        <v>43644</v>
      </c>
      <c r="C170" s="1" t="n">
        <v>45337</v>
      </c>
      <c r="D170" t="inlineStr">
        <is>
          <t>KALMAR LÄN</t>
        </is>
      </c>
      <c r="E170" t="inlineStr">
        <is>
          <t>OSKARSHAMN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32595-2019</t>
        </is>
      </c>
      <c r="B171" s="1" t="n">
        <v>43647</v>
      </c>
      <c r="C171" s="1" t="n">
        <v>45337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32913-2019</t>
        </is>
      </c>
      <c r="B172" s="1" t="n">
        <v>43648</v>
      </c>
      <c r="C172" s="1" t="n">
        <v>45337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32906-2019</t>
        </is>
      </c>
      <c r="B173" s="1" t="n">
        <v>43648</v>
      </c>
      <c r="C173" s="1" t="n">
        <v>45337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33086-2019</t>
        </is>
      </c>
      <c r="B174" s="1" t="n">
        <v>43649</v>
      </c>
      <c r="C174" s="1" t="n">
        <v>45337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33076-2019</t>
        </is>
      </c>
      <c r="B175" s="1" t="n">
        <v>43649</v>
      </c>
      <c r="C175" s="1" t="n">
        <v>45337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33927-2019</t>
        </is>
      </c>
      <c r="B176" s="1" t="n">
        <v>43654</v>
      </c>
      <c r="C176" s="1" t="n">
        <v>45337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33929-2019</t>
        </is>
      </c>
      <c r="B177" s="1" t="n">
        <v>43654</v>
      </c>
      <c r="C177" s="1" t="n">
        <v>45337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34245-2019</t>
        </is>
      </c>
      <c r="B178" s="1" t="n">
        <v>43655</v>
      </c>
      <c r="C178" s="1" t="n">
        <v>45337</v>
      </c>
      <c r="D178" t="inlineStr">
        <is>
          <t>KALMAR LÄN</t>
        </is>
      </c>
      <c r="E178" t="inlineStr">
        <is>
          <t>OSKARSHAMN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34515-2019</t>
        </is>
      </c>
      <c r="B179" s="1" t="n">
        <v>43657</v>
      </c>
      <c r="C179" s="1" t="n">
        <v>45337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34595-2019</t>
        </is>
      </c>
      <c r="B180" s="1" t="n">
        <v>43657</v>
      </c>
      <c r="C180" s="1" t="n">
        <v>45337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34532-2019</t>
        </is>
      </c>
      <c r="B181" s="1" t="n">
        <v>43657</v>
      </c>
      <c r="C181" s="1" t="n">
        <v>45337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34587-2019</t>
        </is>
      </c>
      <c r="B182" s="1" t="n">
        <v>43657</v>
      </c>
      <c r="C182" s="1" t="n">
        <v>45337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35765-2019</t>
        </is>
      </c>
      <c r="B183" s="1" t="n">
        <v>43665</v>
      </c>
      <c r="C183" s="1" t="n">
        <v>45337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35764-2019</t>
        </is>
      </c>
      <c r="B184" s="1" t="n">
        <v>43665</v>
      </c>
      <c r="C184" s="1" t="n">
        <v>45337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35762-2019</t>
        </is>
      </c>
      <c r="B185" s="1" t="n">
        <v>43665</v>
      </c>
      <c r="C185" s="1" t="n">
        <v>45337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36254-2019</t>
        </is>
      </c>
      <c r="B186" s="1" t="n">
        <v>43669</v>
      </c>
      <c r="C186" s="1" t="n">
        <v>45337</v>
      </c>
      <c r="D186" t="inlineStr">
        <is>
          <t>KALMAR LÄN</t>
        </is>
      </c>
      <c r="E186" t="inlineStr">
        <is>
          <t>OSKARSHAMN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36845-2019</t>
        </is>
      </c>
      <c r="B187" s="1" t="n">
        <v>43675</v>
      </c>
      <c r="C187" s="1" t="n">
        <v>45337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36865-2019</t>
        </is>
      </c>
      <c r="B188" s="1" t="n">
        <v>43675</v>
      </c>
      <c r="C188" s="1" t="n">
        <v>45337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36896-2019</t>
        </is>
      </c>
      <c r="B189" s="1" t="n">
        <v>43675</v>
      </c>
      <c r="C189" s="1" t="n">
        <v>45337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36860-2019</t>
        </is>
      </c>
      <c r="B190" s="1" t="n">
        <v>43675</v>
      </c>
      <c r="C190" s="1" t="n">
        <v>45337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36861-2019</t>
        </is>
      </c>
      <c r="B191" s="1" t="n">
        <v>43675</v>
      </c>
      <c r="C191" s="1" t="n">
        <v>45337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37025-2019</t>
        </is>
      </c>
      <c r="B192" s="1" t="n">
        <v>43676</v>
      </c>
      <c r="C192" s="1" t="n">
        <v>45337</v>
      </c>
      <c r="D192" t="inlineStr">
        <is>
          <t>KALMAR LÄN</t>
        </is>
      </c>
      <c r="E192" t="inlineStr">
        <is>
          <t>OSKARSHAMN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40865-2019</t>
        </is>
      </c>
      <c r="B193" s="1" t="n">
        <v>43693</v>
      </c>
      <c r="C193" s="1" t="n">
        <v>45337</v>
      </c>
      <c r="D193" t="inlineStr">
        <is>
          <t>KALMAR LÄN</t>
        </is>
      </c>
      <c r="E193" t="inlineStr">
        <is>
          <t>OSKARSHAMN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40390-2019</t>
        </is>
      </c>
      <c r="B194" s="1" t="n">
        <v>43696</v>
      </c>
      <c r="C194" s="1" t="n">
        <v>45337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41282-2019</t>
        </is>
      </c>
      <c r="B195" s="1" t="n">
        <v>43698</v>
      </c>
      <c r="C195" s="1" t="n">
        <v>45337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41313-2019</t>
        </is>
      </c>
      <c r="B196" s="1" t="n">
        <v>43698</v>
      </c>
      <c r="C196" s="1" t="n">
        <v>45337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41397-2019</t>
        </is>
      </c>
      <c r="B197" s="1" t="n">
        <v>43698</v>
      </c>
      <c r="C197" s="1" t="n">
        <v>45337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41402-2019</t>
        </is>
      </c>
      <c r="B198" s="1" t="n">
        <v>43698</v>
      </c>
      <c r="C198" s="1" t="n">
        <v>45337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41573-2019</t>
        </is>
      </c>
      <c r="B199" s="1" t="n">
        <v>43699</v>
      </c>
      <c r="C199" s="1" t="n">
        <v>45337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42344-2019</t>
        </is>
      </c>
      <c r="B200" s="1" t="n">
        <v>43703</v>
      </c>
      <c r="C200" s="1" t="n">
        <v>45337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43218-2019</t>
        </is>
      </c>
      <c r="B201" s="1" t="n">
        <v>43706</v>
      </c>
      <c r="C201" s="1" t="n">
        <v>45337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43839-2019</t>
        </is>
      </c>
      <c r="B202" s="1" t="n">
        <v>43707</v>
      </c>
      <c r="C202" s="1" t="n">
        <v>45337</v>
      </c>
      <c r="D202" t="inlineStr">
        <is>
          <t>KALMAR LÄN</t>
        </is>
      </c>
      <c r="E202" t="inlineStr">
        <is>
          <t>OSKARSHAMN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43980-2019</t>
        </is>
      </c>
      <c r="B203" s="1" t="n">
        <v>43709</v>
      </c>
      <c r="C203" s="1" t="n">
        <v>45337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44924-2019</t>
        </is>
      </c>
      <c r="B204" s="1" t="n">
        <v>43713</v>
      </c>
      <c r="C204" s="1" t="n">
        <v>45337</v>
      </c>
      <c r="D204" t="inlineStr">
        <is>
          <t>KALMAR LÄN</t>
        </is>
      </c>
      <c r="E204" t="inlineStr">
        <is>
          <t>OSKARSHAMN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46175-2019</t>
        </is>
      </c>
      <c r="B205" s="1" t="n">
        <v>43718</v>
      </c>
      <c r="C205" s="1" t="n">
        <v>45337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46614-2019</t>
        </is>
      </c>
      <c r="B206" s="1" t="n">
        <v>43719</v>
      </c>
      <c r="C206" s="1" t="n">
        <v>45337</v>
      </c>
      <c r="D206" t="inlineStr">
        <is>
          <t>KALMAR LÄN</t>
        </is>
      </c>
      <c r="E206" t="inlineStr">
        <is>
          <t>OSKARSHAMN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47353-2019</t>
        </is>
      </c>
      <c r="B207" s="1" t="n">
        <v>43721</v>
      </c>
      <c r="C207" s="1" t="n">
        <v>45337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48367-2019</t>
        </is>
      </c>
      <c r="B208" s="1" t="n">
        <v>43726</v>
      </c>
      <c r="C208" s="1" t="n">
        <v>45337</v>
      </c>
      <c r="D208" t="inlineStr">
        <is>
          <t>KALMAR LÄN</t>
        </is>
      </c>
      <c r="E208" t="inlineStr">
        <is>
          <t>OSKARSHAMN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48163-2019</t>
        </is>
      </c>
      <c r="B209" s="1" t="n">
        <v>43726</v>
      </c>
      <c r="C209" s="1" t="n">
        <v>45337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51096-2019</t>
        </is>
      </c>
      <c r="B210" s="1" t="n">
        <v>43732</v>
      </c>
      <c r="C210" s="1" t="n">
        <v>45337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50167-2019</t>
        </is>
      </c>
      <c r="B211" s="1" t="n">
        <v>43734</v>
      </c>
      <c r="C211" s="1" t="n">
        <v>45337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50629-2019</t>
        </is>
      </c>
      <c r="B212" s="1" t="n">
        <v>43737</v>
      </c>
      <c r="C212" s="1" t="n">
        <v>45337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52052-2019</t>
        </is>
      </c>
      <c r="B213" s="1" t="n">
        <v>43742</v>
      </c>
      <c r="C213" s="1" t="n">
        <v>45337</v>
      </c>
      <c r="D213" t="inlineStr">
        <is>
          <t>KALMAR LÄN</t>
        </is>
      </c>
      <c r="E213" t="inlineStr">
        <is>
          <t>OSKARSHAMN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54099-2019</t>
        </is>
      </c>
      <c r="B214" s="1" t="n">
        <v>43745</v>
      </c>
      <c r="C214" s="1" t="n">
        <v>45337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53702-2019</t>
        </is>
      </c>
      <c r="B215" s="1" t="n">
        <v>43749</v>
      </c>
      <c r="C215" s="1" t="n">
        <v>45337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53581-2019</t>
        </is>
      </c>
      <c r="B216" s="1" t="n">
        <v>43749</v>
      </c>
      <c r="C216" s="1" t="n">
        <v>45337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53705-2019</t>
        </is>
      </c>
      <c r="B217" s="1" t="n">
        <v>43749</v>
      </c>
      <c r="C217" s="1" t="n">
        <v>45337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55409-2019</t>
        </is>
      </c>
      <c r="B218" s="1" t="n">
        <v>43758</v>
      </c>
      <c r="C218" s="1" t="n">
        <v>45337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56050-2019</t>
        </is>
      </c>
      <c r="B219" s="1" t="n">
        <v>43759</v>
      </c>
      <c r="C219" s="1" t="n">
        <v>45337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56049-2019</t>
        </is>
      </c>
      <c r="B220" s="1" t="n">
        <v>43759</v>
      </c>
      <c r="C220" s="1" t="n">
        <v>45337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57601-2019</t>
        </is>
      </c>
      <c r="B221" s="1" t="n">
        <v>43761</v>
      </c>
      <c r="C221" s="1" t="n">
        <v>45337</v>
      </c>
      <c r="D221" t="inlineStr">
        <is>
          <t>KALMAR LÄN</t>
        </is>
      </c>
      <c r="E221" t="inlineStr">
        <is>
          <t>OSKARSHAMN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57525-2019</t>
        </is>
      </c>
      <c r="B222" s="1" t="n">
        <v>43767</v>
      </c>
      <c r="C222" s="1" t="n">
        <v>45337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58888-2019</t>
        </is>
      </c>
      <c r="B223" s="1" t="n">
        <v>43769</v>
      </c>
      <c r="C223" s="1" t="n">
        <v>45337</v>
      </c>
      <c r="D223" t="inlineStr">
        <is>
          <t>KALMAR LÄN</t>
        </is>
      </c>
      <c r="E223" t="inlineStr">
        <is>
          <t>OSKARSHAMN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59214-2019</t>
        </is>
      </c>
      <c r="B224" s="1" t="n">
        <v>43774</v>
      </c>
      <c r="C224" s="1" t="n">
        <v>45337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58948-2019</t>
        </is>
      </c>
      <c r="B225" s="1" t="n">
        <v>43774</v>
      </c>
      <c r="C225" s="1" t="n">
        <v>45337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59341-2019</t>
        </is>
      </c>
      <c r="B226" s="1" t="n">
        <v>43775</v>
      </c>
      <c r="C226" s="1" t="n">
        <v>45337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59369-2019</t>
        </is>
      </c>
      <c r="B227" s="1" t="n">
        <v>43775</v>
      </c>
      <c r="C227" s="1" t="n">
        <v>45337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60459-2019</t>
        </is>
      </c>
      <c r="B228" s="1" t="n">
        <v>43780</v>
      </c>
      <c r="C228" s="1" t="n">
        <v>45337</v>
      </c>
      <c r="D228" t="inlineStr">
        <is>
          <t>KALMAR LÄN</t>
        </is>
      </c>
      <c r="E228" t="inlineStr">
        <is>
          <t>OSKARSHAMN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60463-2019</t>
        </is>
      </c>
      <c r="B229" s="1" t="n">
        <v>43780</v>
      </c>
      <c r="C229" s="1" t="n">
        <v>45337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60454-2019</t>
        </is>
      </c>
      <c r="B230" s="1" t="n">
        <v>43780</v>
      </c>
      <c r="C230" s="1" t="n">
        <v>45337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61248-2019</t>
        </is>
      </c>
      <c r="B231" s="1" t="n">
        <v>43783</v>
      </c>
      <c r="C231" s="1" t="n">
        <v>45337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61254-2019</t>
        </is>
      </c>
      <c r="B232" s="1" t="n">
        <v>43783</v>
      </c>
      <c r="C232" s="1" t="n">
        <v>45337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62090-2019</t>
        </is>
      </c>
      <c r="B233" s="1" t="n">
        <v>43787</v>
      </c>
      <c r="C233" s="1" t="n">
        <v>45337</v>
      </c>
      <c r="D233" t="inlineStr">
        <is>
          <t>KALMAR LÄN</t>
        </is>
      </c>
      <c r="E233" t="inlineStr">
        <is>
          <t>OSKARSHAMN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61993-2019</t>
        </is>
      </c>
      <c r="B234" s="1" t="n">
        <v>43787</v>
      </c>
      <c r="C234" s="1" t="n">
        <v>45337</v>
      </c>
      <c r="D234" t="inlineStr">
        <is>
          <t>KALMAR LÄN</t>
        </is>
      </c>
      <c r="E234" t="inlineStr">
        <is>
          <t>OSKARSHAMN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61901-2019</t>
        </is>
      </c>
      <c r="B235" s="1" t="n">
        <v>43787</v>
      </c>
      <c r="C235" s="1" t="n">
        <v>45337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64194-2019</t>
        </is>
      </c>
      <c r="B236" s="1" t="n">
        <v>43797</v>
      </c>
      <c r="C236" s="1" t="n">
        <v>45337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64302-2019</t>
        </is>
      </c>
      <c r="B237" s="1" t="n">
        <v>43797</v>
      </c>
      <c r="C237" s="1" t="n">
        <v>45337</v>
      </c>
      <c r="D237" t="inlineStr">
        <is>
          <t>KALMAR LÄN</t>
        </is>
      </c>
      <c r="E237" t="inlineStr">
        <is>
          <t>OSKARSHAMN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64870-2019</t>
        </is>
      </c>
      <c r="B238" s="1" t="n">
        <v>43801</v>
      </c>
      <c r="C238" s="1" t="n">
        <v>45337</v>
      </c>
      <c r="D238" t="inlineStr">
        <is>
          <t>KALMAR LÄN</t>
        </is>
      </c>
      <c r="E238" t="inlineStr">
        <is>
          <t>OSKARSHAMN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65846-2019</t>
        </is>
      </c>
      <c r="B239" s="1" t="n">
        <v>43805</v>
      </c>
      <c r="C239" s="1" t="n">
        <v>45337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66611-2019</t>
        </is>
      </c>
      <c r="B240" s="1" t="n">
        <v>43809</v>
      </c>
      <c r="C240" s="1" t="n">
        <v>45337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66621-2019</t>
        </is>
      </c>
      <c r="B241" s="1" t="n">
        <v>43809</v>
      </c>
      <c r="C241" s="1" t="n">
        <v>45337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66617-2019</t>
        </is>
      </c>
      <c r="B242" s="1" t="n">
        <v>43809</v>
      </c>
      <c r="C242" s="1" t="n">
        <v>45337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66626-2019</t>
        </is>
      </c>
      <c r="B243" s="1" t="n">
        <v>43809</v>
      </c>
      <c r="C243" s="1" t="n">
        <v>45337</v>
      </c>
      <c r="D243" t="inlineStr">
        <is>
          <t>KALMAR LÄN</t>
        </is>
      </c>
      <c r="E243" t="inlineStr">
        <is>
          <t>OSKARSHAMN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66619-2019</t>
        </is>
      </c>
      <c r="B244" s="1" t="n">
        <v>43809</v>
      </c>
      <c r="C244" s="1" t="n">
        <v>45337</v>
      </c>
      <c r="D244" t="inlineStr">
        <is>
          <t>KALMAR LÄN</t>
        </is>
      </c>
      <c r="E244" t="inlineStr">
        <is>
          <t>OSKARSHAMN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66734-2019</t>
        </is>
      </c>
      <c r="B245" s="1" t="n">
        <v>43809</v>
      </c>
      <c r="C245" s="1" t="n">
        <v>45337</v>
      </c>
      <c r="D245" t="inlineStr">
        <is>
          <t>KALMAR LÄN</t>
        </is>
      </c>
      <c r="E245" t="inlineStr">
        <is>
          <t>OSKARSHAMN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66768-2019</t>
        </is>
      </c>
      <c r="B246" s="1" t="n">
        <v>43809</v>
      </c>
      <c r="C246" s="1" t="n">
        <v>45337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66965-2019</t>
        </is>
      </c>
      <c r="B247" s="1" t="n">
        <v>43810</v>
      </c>
      <c r="C247" s="1" t="n">
        <v>45337</v>
      </c>
      <c r="D247" t="inlineStr">
        <is>
          <t>KALMAR LÄN</t>
        </is>
      </c>
      <c r="E247" t="inlineStr">
        <is>
          <t>OSKARSHAMN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67717-2019</t>
        </is>
      </c>
      <c r="B248" s="1" t="n">
        <v>43810</v>
      </c>
      <c r="C248" s="1" t="n">
        <v>45337</v>
      </c>
      <c r="D248" t="inlineStr">
        <is>
          <t>KALMAR LÄN</t>
        </is>
      </c>
      <c r="E248" t="inlineStr">
        <is>
          <t>OSKARSHAMN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67799-2019</t>
        </is>
      </c>
      <c r="B249" s="1" t="n">
        <v>43815</v>
      </c>
      <c r="C249" s="1" t="n">
        <v>45337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68528-2019</t>
        </is>
      </c>
      <c r="B250" s="1" t="n">
        <v>43818</v>
      </c>
      <c r="C250" s="1" t="n">
        <v>45337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68527-2019</t>
        </is>
      </c>
      <c r="B251" s="1" t="n">
        <v>43818</v>
      </c>
      <c r="C251" s="1" t="n">
        <v>45337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245-2020</t>
        </is>
      </c>
      <c r="B252" s="1" t="n">
        <v>43835</v>
      </c>
      <c r="C252" s="1" t="n">
        <v>45337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370-2020</t>
        </is>
      </c>
      <c r="B253" s="1" t="n">
        <v>43837</v>
      </c>
      <c r="C253" s="1" t="n">
        <v>45337</v>
      </c>
      <c r="D253" t="inlineStr">
        <is>
          <t>KALMAR LÄN</t>
        </is>
      </c>
      <c r="E253" t="inlineStr">
        <is>
          <t>OSKARSHAMN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1308-2020</t>
        </is>
      </c>
      <c r="B254" s="1" t="n">
        <v>43840</v>
      </c>
      <c r="C254" s="1" t="n">
        <v>45337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1536-2020</t>
        </is>
      </c>
      <c r="B255" s="1" t="n">
        <v>43843</v>
      </c>
      <c r="C255" s="1" t="n">
        <v>45337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1537-2020</t>
        </is>
      </c>
      <c r="B256" s="1" t="n">
        <v>43843</v>
      </c>
      <c r="C256" s="1" t="n">
        <v>45337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2130-2020</t>
        </is>
      </c>
      <c r="B257" s="1" t="n">
        <v>43846</v>
      </c>
      <c r="C257" s="1" t="n">
        <v>45337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3153-2020</t>
        </is>
      </c>
      <c r="B258" s="1" t="n">
        <v>43851</v>
      </c>
      <c r="C258" s="1" t="n">
        <v>45337</v>
      </c>
      <c r="D258" t="inlineStr">
        <is>
          <t>KALMAR LÄN</t>
        </is>
      </c>
      <c r="E258" t="inlineStr">
        <is>
          <t>OSKARSHAMN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3148-2020</t>
        </is>
      </c>
      <c r="B259" s="1" t="n">
        <v>43851</v>
      </c>
      <c r="C259" s="1" t="n">
        <v>45337</v>
      </c>
      <c r="D259" t="inlineStr">
        <is>
          <t>KALMAR LÄN</t>
        </is>
      </c>
      <c r="E259" t="inlineStr">
        <is>
          <t>OSKARSHAMN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3151-2020</t>
        </is>
      </c>
      <c r="B260" s="1" t="n">
        <v>43851</v>
      </c>
      <c r="C260" s="1" t="n">
        <v>45337</v>
      </c>
      <c r="D260" t="inlineStr">
        <is>
          <t>KALMAR LÄN</t>
        </is>
      </c>
      <c r="E260" t="inlineStr">
        <is>
          <t>OSKARSHAMN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3143-2020</t>
        </is>
      </c>
      <c r="B261" s="1" t="n">
        <v>43851</v>
      </c>
      <c r="C261" s="1" t="n">
        <v>45337</v>
      </c>
      <c r="D261" t="inlineStr">
        <is>
          <t>KALMAR LÄN</t>
        </is>
      </c>
      <c r="E261" t="inlineStr">
        <is>
          <t>OSKARSHAMN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3546-2020</t>
        </is>
      </c>
      <c r="B262" s="1" t="n">
        <v>43853</v>
      </c>
      <c r="C262" s="1" t="n">
        <v>45337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4653-2020</t>
        </is>
      </c>
      <c r="B263" s="1" t="n">
        <v>43858</v>
      </c>
      <c r="C263" s="1" t="n">
        <v>45337</v>
      </c>
      <c r="D263" t="inlineStr">
        <is>
          <t>KALMAR LÄN</t>
        </is>
      </c>
      <c r="E263" t="inlineStr">
        <is>
          <t>OSKARSHAMN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5040-2020</t>
        </is>
      </c>
      <c r="B264" s="1" t="n">
        <v>43859</v>
      </c>
      <c r="C264" s="1" t="n">
        <v>45337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5017-2020</t>
        </is>
      </c>
      <c r="B265" s="1" t="n">
        <v>43859</v>
      </c>
      <c r="C265" s="1" t="n">
        <v>45337</v>
      </c>
      <c r="D265" t="inlineStr">
        <is>
          <t>KALMAR LÄN</t>
        </is>
      </c>
      <c r="E265" t="inlineStr">
        <is>
          <t>OSKARSHAMN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5372-2020</t>
        </is>
      </c>
      <c r="B266" s="1" t="n">
        <v>43860</v>
      </c>
      <c r="C266" s="1" t="n">
        <v>45337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5391-2020</t>
        </is>
      </c>
      <c r="B267" s="1" t="n">
        <v>43860</v>
      </c>
      <c r="C267" s="1" t="n">
        <v>45337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5584-2020</t>
        </is>
      </c>
      <c r="B268" s="1" t="n">
        <v>43861</v>
      </c>
      <c r="C268" s="1" t="n">
        <v>45337</v>
      </c>
      <c r="D268" t="inlineStr">
        <is>
          <t>KALMAR LÄN</t>
        </is>
      </c>
      <c r="E268" t="inlineStr">
        <is>
          <t>OSKARSHAMN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5570-2020</t>
        </is>
      </c>
      <c r="B269" s="1" t="n">
        <v>43861</v>
      </c>
      <c r="C269" s="1" t="n">
        <v>45337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6087-2020</t>
        </is>
      </c>
      <c r="B270" s="1" t="n">
        <v>43864</v>
      </c>
      <c r="C270" s="1" t="n">
        <v>45337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6088-2020</t>
        </is>
      </c>
      <c r="B271" s="1" t="n">
        <v>43864</v>
      </c>
      <c r="C271" s="1" t="n">
        <v>45337</v>
      </c>
      <c r="D271" t="inlineStr">
        <is>
          <t>KALMAR LÄN</t>
        </is>
      </c>
      <c r="E271" t="inlineStr">
        <is>
          <t>OSKARSHAMN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7838-2020</t>
        </is>
      </c>
      <c r="B272" s="1" t="n">
        <v>43873</v>
      </c>
      <c r="C272" s="1" t="n">
        <v>45337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8508-2020</t>
        </is>
      </c>
      <c r="B273" s="1" t="n">
        <v>43875</v>
      </c>
      <c r="C273" s="1" t="n">
        <v>45337</v>
      </c>
      <c r="D273" t="inlineStr">
        <is>
          <t>KALMAR LÄN</t>
        </is>
      </c>
      <c r="E273" t="inlineStr">
        <is>
          <t>OSKARSHAMN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8506-2020</t>
        </is>
      </c>
      <c r="B274" s="1" t="n">
        <v>43875</v>
      </c>
      <c r="C274" s="1" t="n">
        <v>45337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8505-2020</t>
        </is>
      </c>
      <c r="B275" s="1" t="n">
        <v>43875</v>
      </c>
      <c r="C275" s="1" t="n">
        <v>45337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8507-2020</t>
        </is>
      </c>
      <c r="B276" s="1" t="n">
        <v>43875</v>
      </c>
      <c r="C276" s="1" t="n">
        <v>45337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8828-2020</t>
        </is>
      </c>
      <c r="B277" s="1" t="n">
        <v>43878</v>
      </c>
      <c r="C277" s="1" t="n">
        <v>45337</v>
      </c>
      <c r="D277" t="inlineStr">
        <is>
          <t>KALMAR LÄN</t>
        </is>
      </c>
      <c r="E277" t="inlineStr">
        <is>
          <t>OSKARSHAMN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9377-2020</t>
        </is>
      </c>
      <c r="B278" s="1" t="n">
        <v>43880</v>
      </c>
      <c r="C278" s="1" t="n">
        <v>45337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9809-2020</t>
        </is>
      </c>
      <c r="B279" s="1" t="n">
        <v>43881</v>
      </c>
      <c r="C279" s="1" t="n">
        <v>45337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9844-2020</t>
        </is>
      </c>
      <c r="B280" s="1" t="n">
        <v>43882</v>
      </c>
      <c r="C280" s="1" t="n">
        <v>45337</v>
      </c>
      <c r="D280" t="inlineStr">
        <is>
          <t>KALMAR LÄN</t>
        </is>
      </c>
      <c r="E280" t="inlineStr">
        <is>
          <t>OSKARSHAMN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9839-2020</t>
        </is>
      </c>
      <c r="B281" s="1" t="n">
        <v>43882</v>
      </c>
      <c r="C281" s="1" t="n">
        <v>45337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9855-2020</t>
        </is>
      </c>
      <c r="B282" s="1" t="n">
        <v>43882</v>
      </c>
      <c r="C282" s="1" t="n">
        <v>45337</v>
      </c>
      <c r="D282" t="inlineStr">
        <is>
          <t>KALMAR LÄN</t>
        </is>
      </c>
      <c r="E282" t="inlineStr">
        <is>
          <t>OSKARSHAMN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9849-2020</t>
        </is>
      </c>
      <c r="B283" s="1" t="n">
        <v>43882</v>
      </c>
      <c r="C283" s="1" t="n">
        <v>45337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10068-2020</t>
        </is>
      </c>
      <c r="B284" s="1" t="n">
        <v>43883</v>
      </c>
      <c r="C284" s="1" t="n">
        <v>45337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10161-2020</t>
        </is>
      </c>
      <c r="B285" s="1" t="n">
        <v>43886</v>
      </c>
      <c r="C285" s="1" t="n">
        <v>45337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12616-2020</t>
        </is>
      </c>
      <c r="B286" s="1" t="n">
        <v>43899</v>
      </c>
      <c r="C286" s="1" t="n">
        <v>45337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12789-2020</t>
        </is>
      </c>
      <c r="B287" s="1" t="n">
        <v>43899</v>
      </c>
      <c r="C287" s="1" t="n">
        <v>45337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13228-2020</t>
        </is>
      </c>
      <c r="B288" s="1" t="n">
        <v>43901</v>
      </c>
      <c r="C288" s="1" t="n">
        <v>45337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13227-2020</t>
        </is>
      </c>
      <c r="B289" s="1" t="n">
        <v>43901</v>
      </c>
      <c r="C289" s="1" t="n">
        <v>45337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14131-2020</t>
        </is>
      </c>
      <c r="B290" s="1" t="n">
        <v>43907</v>
      </c>
      <c r="C290" s="1" t="n">
        <v>45337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16486-2020</t>
        </is>
      </c>
      <c r="B291" s="1" t="n">
        <v>43920</v>
      </c>
      <c r="C291" s="1" t="n">
        <v>45337</v>
      </c>
      <c r="D291" t="inlineStr">
        <is>
          <t>KALMAR LÄN</t>
        </is>
      </c>
      <c r="E291" t="inlineStr">
        <is>
          <t>OSKARSHAMN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17562-2020</t>
        </is>
      </c>
      <c r="B292" s="1" t="n">
        <v>43921</v>
      </c>
      <c r="C292" s="1" t="n">
        <v>45337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18230-2020</t>
        </is>
      </c>
      <c r="B293" s="1" t="n">
        <v>43927</v>
      </c>
      <c r="C293" s="1" t="n">
        <v>45337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18711-2020</t>
        </is>
      </c>
      <c r="B294" s="1" t="n">
        <v>43930</v>
      </c>
      <c r="C294" s="1" t="n">
        <v>45337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19261-2020</t>
        </is>
      </c>
      <c r="B295" s="1" t="n">
        <v>43937</v>
      </c>
      <c r="C295" s="1" t="n">
        <v>45337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19467-2020</t>
        </is>
      </c>
      <c r="B296" s="1" t="n">
        <v>43938</v>
      </c>
      <c r="C296" s="1" t="n">
        <v>45337</v>
      </c>
      <c r="D296" t="inlineStr">
        <is>
          <t>KALMAR LÄN</t>
        </is>
      </c>
      <c r="E296" t="inlineStr">
        <is>
          <t>OSKARSHAMN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20348-2020</t>
        </is>
      </c>
      <c r="B297" s="1" t="n">
        <v>43945</v>
      </c>
      <c r="C297" s="1" t="n">
        <v>45337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21202-2020</t>
        </is>
      </c>
      <c r="B298" s="1" t="n">
        <v>43951</v>
      </c>
      <c r="C298" s="1" t="n">
        <v>45337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21334-2020</t>
        </is>
      </c>
      <c r="B299" s="1" t="n">
        <v>43955</v>
      </c>
      <c r="C299" s="1" t="n">
        <v>45337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21345-2020</t>
        </is>
      </c>
      <c r="B300" s="1" t="n">
        <v>43955</v>
      </c>
      <c r="C300" s="1" t="n">
        <v>45337</v>
      </c>
      <c r="D300" t="inlineStr">
        <is>
          <t>KALMAR LÄN</t>
        </is>
      </c>
      <c r="E300" t="inlineStr">
        <is>
          <t>OSKARSHAMN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22201-2020</t>
        </is>
      </c>
      <c r="B301" s="1" t="n">
        <v>43962</v>
      </c>
      <c r="C301" s="1" t="n">
        <v>45337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23088-2020</t>
        </is>
      </c>
      <c r="B302" s="1" t="n">
        <v>43965</v>
      </c>
      <c r="C302" s="1" t="n">
        <v>45337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23718-2020</t>
        </is>
      </c>
      <c r="B303" s="1" t="n">
        <v>43970</v>
      </c>
      <c r="C303" s="1" t="n">
        <v>45337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23867-2020</t>
        </is>
      </c>
      <c r="B304" s="1" t="n">
        <v>43971</v>
      </c>
      <c r="C304" s="1" t="n">
        <v>45337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24325-2020</t>
        </is>
      </c>
      <c r="B305" s="1" t="n">
        <v>43976</v>
      </c>
      <c r="C305" s="1" t="n">
        <v>45337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24316-2020</t>
        </is>
      </c>
      <c r="B306" s="1" t="n">
        <v>43976</v>
      </c>
      <c r="C306" s="1" t="n">
        <v>45337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24324-2020</t>
        </is>
      </c>
      <c r="B307" s="1" t="n">
        <v>43976</v>
      </c>
      <c r="C307" s="1" t="n">
        <v>45337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24320-2020</t>
        </is>
      </c>
      <c r="B308" s="1" t="n">
        <v>43976</v>
      </c>
      <c r="C308" s="1" t="n">
        <v>45337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24902-2020</t>
        </is>
      </c>
      <c r="B309" s="1" t="n">
        <v>43979</v>
      </c>
      <c r="C309" s="1" t="n">
        <v>45337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28015-2020</t>
        </is>
      </c>
      <c r="B310" s="1" t="n">
        <v>43993</v>
      </c>
      <c r="C310" s="1" t="n">
        <v>45337</v>
      </c>
      <c r="D310" t="inlineStr">
        <is>
          <t>KALMAR LÄN</t>
        </is>
      </c>
      <c r="E310" t="inlineStr">
        <is>
          <t>OSKARSHAMN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28019-2020</t>
        </is>
      </c>
      <c r="B311" s="1" t="n">
        <v>43993</v>
      </c>
      <c r="C311" s="1" t="n">
        <v>45337</v>
      </c>
      <c r="D311" t="inlineStr">
        <is>
          <t>KALMAR LÄN</t>
        </is>
      </c>
      <c r="E311" t="inlineStr">
        <is>
          <t>OSKARSHAMN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29086-2020</t>
        </is>
      </c>
      <c r="B312" s="1" t="n">
        <v>44002</v>
      </c>
      <c r="C312" s="1" t="n">
        <v>45337</v>
      </c>
      <c r="D312" t="inlineStr">
        <is>
          <t>KALMAR LÄN</t>
        </is>
      </c>
      <c r="E312" t="inlineStr">
        <is>
          <t>OSKARSHAMN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30461-2020</t>
        </is>
      </c>
      <c r="B313" s="1" t="n">
        <v>44007</v>
      </c>
      <c r="C313" s="1" t="n">
        <v>45337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30833-2020</t>
        </is>
      </c>
      <c r="B314" s="1" t="n">
        <v>44011</v>
      </c>
      <c r="C314" s="1" t="n">
        <v>45337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31589-2020</t>
        </is>
      </c>
      <c r="B315" s="1" t="n">
        <v>44012</v>
      </c>
      <c r="C315" s="1" t="n">
        <v>45337</v>
      </c>
      <c r="D315" t="inlineStr">
        <is>
          <t>KALMAR LÄN</t>
        </is>
      </c>
      <c r="E315" t="inlineStr">
        <is>
          <t>OSKARSHAMN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31678-2020</t>
        </is>
      </c>
      <c r="B316" s="1" t="n">
        <v>44014</v>
      </c>
      <c r="C316" s="1" t="n">
        <v>45337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31693-2020</t>
        </is>
      </c>
      <c r="B317" s="1" t="n">
        <v>44014</v>
      </c>
      <c r="C317" s="1" t="n">
        <v>45337</v>
      </c>
      <c r="D317" t="inlineStr">
        <is>
          <t>KALMAR LÄN</t>
        </is>
      </c>
      <c r="E317" t="inlineStr">
        <is>
          <t>OSKARSHAMN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31702-2020</t>
        </is>
      </c>
      <c r="B318" s="1" t="n">
        <v>44014</v>
      </c>
      <c r="C318" s="1" t="n">
        <v>45337</v>
      </c>
      <c r="D318" t="inlineStr">
        <is>
          <t>KALMAR LÄN</t>
        </is>
      </c>
      <c r="E318" t="inlineStr">
        <is>
          <t>OSKARSHAMN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34022-2020</t>
        </is>
      </c>
      <c r="B319" s="1" t="n">
        <v>44028</v>
      </c>
      <c r="C319" s="1" t="n">
        <v>45337</v>
      </c>
      <c r="D319" t="inlineStr">
        <is>
          <t>KALMAR LÄN</t>
        </is>
      </c>
      <c r="E319" t="inlineStr">
        <is>
          <t>OSKARSHAMN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36815-2020</t>
        </is>
      </c>
      <c r="B320" s="1" t="n">
        <v>44053</v>
      </c>
      <c r="C320" s="1" t="n">
        <v>45337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40571-2020</t>
        </is>
      </c>
      <c r="B321" s="1" t="n">
        <v>44069</v>
      </c>
      <c r="C321" s="1" t="n">
        <v>45337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40733-2020</t>
        </is>
      </c>
      <c r="B322" s="1" t="n">
        <v>44069</v>
      </c>
      <c r="C322" s="1" t="n">
        <v>45337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41151-2020</t>
        </is>
      </c>
      <c r="B323" s="1" t="n">
        <v>44071</v>
      </c>
      <c r="C323" s="1" t="n">
        <v>45337</v>
      </c>
      <c r="D323" t="inlineStr">
        <is>
          <t>KALMAR LÄN</t>
        </is>
      </c>
      <c r="E323" t="inlineStr">
        <is>
          <t>OSKARSHAMN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43168-2020</t>
        </is>
      </c>
      <c r="B324" s="1" t="n">
        <v>44081</v>
      </c>
      <c r="C324" s="1" t="n">
        <v>45337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43346-2020</t>
        </is>
      </c>
      <c r="B325" s="1" t="n">
        <v>44081</v>
      </c>
      <c r="C325" s="1" t="n">
        <v>45337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43472-2020</t>
        </is>
      </c>
      <c r="B326" s="1" t="n">
        <v>44082</v>
      </c>
      <c r="C326" s="1" t="n">
        <v>45337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44184-2020</t>
        </is>
      </c>
      <c r="B327" s="1" t="n">
        <v>44083</v>
      </c>
      <c r="C327" s="1" t="n">
        <v>45337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44182-2020</t>
        </is>
      </c>
      <c r="B328" s="1" t="n">
        <v>44083</v>
      </c>
      <c r="C328" s="1" t="n">
        <v>45337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47746-2020</t>
        </is>
      </c>
      <c r="B329" s="1" t="n">
        <v>44098</v>
      </c>
      <c r="C329" s="1" t="n">
        <v>45337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47703-2020</t>
        </is>
      </c>
      <c r="B330" s="1" t="n">
        <v>44098</v>
      </c>
      <c r="C330" s="1" t="n">
        <v>45337</v>
      </c>
      <c r="D330" t="inlineStr">
        <is>
          <t>KALMAR LÄN</t>
        </is>
      </c>
      <c r="E330" t="inlineStr">
        <is>
          <t>OSKARSHAMN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47508-2020</t>
        </is>
      </c>
      <c r="B331" s="1" t="n">
        <v>44099</v>
      </c>
      <c r="C331" s="1" t="n">
        <v>45337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48038-2020</t>
        </is>
      </c>
      <c r="B332" s="1" t="n">
        <v>44099</v>
      </c>
      <c r="C332" s="1" t="n">
        <v>45337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48437-2020</t>
        </is>
      </c>
      <c r="B333" s="1" t="n">
        <v>44102</v>
      </c>
      <c r="C333" s="1" t="n">
        <v>45337</v>
      </c>
      <c r="D333" t="inlineStr">
        <is>
          <t>KALMAR LÄN</t>
        </is>
      </c>
      <c r="E333" t="inlineStr">
        <is>
          <t>OSKARSHAMN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48899-2020</t>
        </is>
      </c>
      <c r="B334" s="1" t="n">
        <v>44102</v>
      </c>
      <c r="C334" s="1" t="n">
        <v>45337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48534-2020</t>
        </is>
      </c>
      <c r="B335" s="1" t="n">
        <v>44103</v>
      </c>
      <c r="C335" s="1" t="n">
        <v>45337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48523-2020</t>
        </is>
      </c>
      <c r="B336" s="1" t="n">
        <v>44103</v>
      </c>
      <c r="C336" s="1" t="n">
        <v>45337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48977-2020</t>
        </is>
      </c>
      <c r="B337" s="1" t="n">
        <v>44104</v>
      </c>
      <c r="C337" s="1" t="n">
        <v>45337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49245-2020</t>
        </is>
      </c>
      <c r="B338" s="1" t="n">
        <v>44105</v>
      </c>
      <c r="C338" s="1" t="n">
        <v>45337</v>
      </c>
      <c r="D338" t="inlineStr">
        <is>
          <t>KALMAR LÄN</t>
        </is>
      </c>
      <c r="E338" t="inlineStr">
        <is>
          <t>OSKARSHAMN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49599-2020</t>
        </is>
      </c>
      <c r="B339" s="1" t="n">
        <v>44106</v>
      </c>
      <c r="C339" s="1" t="n">
        <v>45337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49763-2020</t>
        </is>
      </c>
      <c r="B340" s="1" t="n">
        <v>44106</v>
      </c>
      <c r="C340" s="1" t="n">
        <v>45337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51568-2020</t>
        </is>
      </c>
      <c r="B341" s="1" t="n">
        <v>44109</v>
      </c>
      <c r="C341" s="1" t="n">
        <v>45337</v>
      </c>
      <c r="D341" t="inlineStr">
        <is>
          <t>KALMAR LÄN</t>
        </is>
      </c>
      <c r="E341" t="inlineStr">
        <is>
          <t>OSKARSHAMN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50003-2020</t>
        </is>
      </c>
      <c r="B342" s="1" t="n">
        <v>44109</v>
      </c>
      <c r="C342" s="1" t="n">
        <v>45337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50679-2020</t>
        </is>
      </c>
      <c r="B343" s="1" t="n">
        <v>44110</v>
      </c>
      <c r="C343" s="1" t="n">
        <v>45337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52611-2020</t>
        </is>
      </c>
      <c r="B344" s="1" t="n">
        <v>44118</v>
      </c>
      <c r="C344" s="1" t="n">
        <v>45337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54776-2020</t>
        </is>
      </c>
      <c r="B345" s="1" t="n">
        <v>44127</v>
      </c>
      <c r="C345" s="1" t="n">
        <v>45337</v>
      </c>
      <c r="D345" t="inlineStr">
        <is>
          <t>KALMAR LÄN</t>
        </is>
      </c>
      <c r="E345" t="inlineStr">
        <is>
          <t>OSKARSHAMN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54793-2020</t>
        </is>
      </c>
      <c r="B346" s="1" t="n">
        <v>44127</v>
      </c>
      <c r="C346" s="1" t="n">
        <v>45337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54788-2020</t>
        </is>
      </c>
      <c r="B347" s="1" t="n">
        <v>44127</v>
      </c>
      <c r="C347" s="1" t="n">
        <v>45337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55191-2020</t>
        </is>
      </c>
      <c r="B348" s="1" t="n">
        <v>44130</v>
      </c>
      <c r="C348" s="1" t="n">
        <v>45337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55974-2020</t>
        </is>
      </c>
      <c r="B349" s="1" t="n">
        <v>44133</v>
      </c>
      <c r="C349" s="1" t="n">
        <v>45337</v>
      </c>
      <c r="D349" t="inlineStr">
        <is>
          <t>KALMAR LÄN</t>
        </is>
      </c>
      <c r="E349" t="inlineStr">
        <is>
          <t>OSKARSHAMN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57309-2020</t>
        </is>
      </c>
      <c r="B350" s="1" t="n">
        <v>44139</v>
      </c>
      <c r="C350" s="1" t="n">
        <v>45337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58266-2020</t>
        </is>
      </c>
      <c r="B351" s="1" t="n">
        <v>44144</v>
      </c>
      <c r="C351" s="1" t="n">
        <v>45337</v>
      </c>
      <c r="D351" t="inlineStr">
        <is>
          <t>KALMAR LÄN</t>
        </is>
      </c>
      <c r="E351" t="inlineStr">
        <is>
          <t>OSKARSHAMN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58483-2020</t>
        </is>
      </c>
      <c r="B352" s="1" t="n">
        <v>44145</v>
      </c>
      <c r="C352" s="1" t="n">
        <v>45337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60566-2020</t>
        </is>
      </c>
      <c r="B353" s="1" t="n">
        <v>44153</v>
      </c>
      <c r="C353" s="1" t="n">
        <v>45337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60567-2020</t>
        </is>
      </c>
      <c r="B354" s="1" t="n">
        <v>44153</v>
      </c>
      <c r="C354" s="1" t="n">
        <v>45337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60678-2020</t>
        </is>
      </c>
      <c r="B355" s="1" t="n">
        <v>44153</v>
      </c>
      <c r="C355" s="1" t="n">
        <v>45337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60573-2020</t>
        </is>
      </c>
      <c r="B356" s="1" t="n">
        <v>44153</v>
      </c>
      <c r="C356" s="1" t="n">
        <v>45337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61022-2020</t>
        </is>
      </c>
      <c r="B357" s="1" t="n">
        <v>44154</v>
      </c>
      <c r="C357" s="1" t="n">
        <v>45337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61111-2020</t>
        </is>
      </c>
      <c r="B358" s="1" t="n">
        <v>44154</v>
      </c>
      <c r="C358" s="1" t="n">
        <v>45337</v>
      </c>
      <c r="D358" t="inlineStr">
        <is>
          <t>KALMAR LÄN</t>
        </is>
      </c>
      <c r="E358" t="inlineStr">
        <is>
          <t>OSKARSHAMN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61502-2020</t>
        </is>
      </c>
      <c r="B359" s="1" t="n">
        <v>44158</v>
      </c>
      <c r="C359" s="1" t="n">
        <v>45337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62499-2020</t>
        </is>
      </c>
      <c r="B360" s="1" t="n">
        <v>44160</v>
      </c>
      <c r="C360" s="1" t="n">
        <v>45337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62991-2020</t>
        </is>
      </c>
      <c r="B361" s="1" t="n">
        <v>44162</v>
      </c>
      <c r="C361" s="1" t="n">
        <v>45337</v>
      </c>
      <c r="D361" t="inlineStr">
        <is>
          <t>KALMAR LÄN</t>
        </is>
      </c>
      <c r="E361" t="inlineStr">
        <is>
          <t>OSKARSHAMN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63580-2020</t>
        </is>
      </c>
      <c r="B362" s="1" t="n">
        <v>44165</v>
      </c>
      <c r="C362" s="1" t="n">
        <v>45337</v>
      </c>
      <c r="D362" t="inlineStr">
        <is>
          <t>KALMAR LÄN</t>
        </is>
      </c>
      <c r="E362" t="inlineStr">
        <is>
          <t>OSKARSHAMN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63688-2020</t>
        </is>
      </c>
      <c r="B363" s="1" t="n">
        <v>44166</v>
      </c>
      <c r="C363" s="1" t="n">
        <v>45337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64390-2020</t>
        </is>
      </c>
      <c r="B364" s="1" t="n">
        <v>44168</v>
      </c>
      <c r="C364" s="1" t="n">
        <v>45337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64409-2020</t>
        </is>
      </c>
      <c r="B365" s="1" t="n">
        <v>44168</v>
      </c>
      <c r="C365" s="1" t="n">
        <v>45337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64476-2020</t>
        </is>
      </c>
      <c r="B366" s="1" t="n">
        <v>44168</v>
      </c>
      <c r="C366" s="1" t="n">
        <v>45337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64515-2020</t>
        </is>
      </c>
      <c r="B367" s="1" t="n">
        <v>44169</v>
      </c>
      <c r="C367" s="1" t="n">
        <v>45337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67289-2020</t>
        </is>
      </c>
      <c r="B368" s="1" t="n">
        <v>44181</v>
      </c>
      <c r="C368" s="1" t="n">
        <v>45337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67303-2020</t>
        </is>
      </c>
      <c r="B369" s="1" t="n">
        <v>44181</v>
      </c>
      <c r="C369" s="1" t="n">
        <v>45337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67334-2020</t>
        </is>
      </c>
      <c r="B370" s="1" t="n">
        <v>44181</v>
      </c>
      <c r="C370" s="1" t="n">
        <v>45337</v>
      </c>
      <c r="D370" t="inlineStr">
        <is>
          <t>KALMAR LÄN</t>
        </is>
      </c>
      <c r="E370" t="inlineStr">
        <is>
          <t>OSKARSHAMN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45337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45337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45337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45337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45337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45337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45337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45337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45337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45337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45337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45337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45337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45337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45337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45337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45337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45337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45337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45337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45337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45337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45337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45337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45337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45337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45337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45337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45337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45337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45337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45337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45337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45337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45337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45337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45337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45337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45337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45337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45337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45337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45337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45337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45337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45337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45337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45337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45337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45337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45337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45337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45337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45337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45337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45337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45337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45337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45337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45337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45337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45337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45337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45337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45337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45337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45337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45337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45337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45337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45337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45337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45337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45337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45337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45337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45337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45337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45337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45337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45337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45337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45337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45337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45337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45337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45337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45337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45337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45337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45337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45337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45337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45337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45337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45337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45337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45337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45337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45337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45337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45337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45337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45337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45337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45337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45337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45337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45337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45337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45337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45337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45337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45337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45337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45337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45337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45337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45337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45337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45337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45337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45337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45337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45337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45337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45337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45337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45337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45337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45337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45337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45337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45337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45337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45337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45337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45337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45337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45337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45337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45337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45337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45337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45337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45337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45337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45337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45337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45337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45337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45337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45337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45337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45337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45337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45337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45337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45337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45337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45337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45337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45337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45337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45337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45337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45337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45337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45337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45337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45337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45337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45337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45337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45337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45337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45337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45337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45337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45337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45337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45337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45337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45337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45337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45337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45337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45337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45337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45337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45337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45337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45337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45337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45337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45337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45337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45337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45337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45337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45337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45337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45337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45337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45337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45337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45337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45337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45337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45337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45337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45337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45337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45337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45337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45337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45337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45337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45337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45337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45337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45337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45337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45337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45337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45337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45337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45337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45337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45337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45337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45337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45337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45337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45337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45337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45337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45337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45337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45337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45337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45337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45337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45337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45337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45337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45337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45337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45337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45337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45337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45337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45337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45337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45337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45337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45337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45337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45337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45337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45337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45337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45337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45337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45337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45337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45337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45337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45337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45337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45337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45337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45337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45337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45337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45337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45337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45337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45337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45337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45337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45337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45337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45337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45337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45337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45337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45337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45337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45337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45337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45337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45337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45337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45337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45337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45337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45337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45337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45337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45337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45337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45337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45337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45337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45337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45337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45337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45337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45337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45337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45337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45337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45337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45337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45337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45337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45337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45337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45337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45337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45337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45337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45337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45337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45337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45337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45337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45337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45337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45337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45337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45337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45337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45337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45337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45337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45337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45337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45337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45337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45337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45337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45337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45337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45337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45337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45337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45337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45337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45337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45337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45337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45337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45337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45337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45337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45337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45337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45337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45337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45337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45337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45337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45337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45337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45337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45337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45337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45337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45337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45337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45337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45337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45337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45337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45337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45337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45337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45337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45337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45337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45337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45337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45337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45337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45337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45337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45337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45337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45337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45337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45337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45337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45337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45337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45337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45337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45337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45337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45337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45337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45337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45337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45337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45337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45337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45337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45337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45337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45337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45337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45337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45337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45337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45337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45337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45337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45337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45337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45337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45337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45337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45337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45337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45337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45337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45337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45337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45337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45337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45337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45337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45337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45337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45337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45337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45337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45337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45337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45337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45337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45337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45337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45337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45337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45337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45337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45337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45337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45337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45337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45337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45337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45337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45337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45337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45337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45337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45337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45337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45337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45337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45337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45337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45337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45337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45337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45337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45337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45337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45337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45337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45337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45337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45337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45337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45337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45337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45337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45337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45337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45337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45337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45337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45337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45337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45337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45337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45337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45337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45337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45337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45337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45337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45337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45337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45337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45337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45337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45337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45337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45337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45337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45337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45337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45337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45337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45337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45337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45337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45337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45337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45337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45337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45337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45337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45337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45337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45337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45337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45337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45337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45337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45337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45337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45337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45337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45337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45337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45337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45337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45337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45337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45337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45337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45337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45337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45337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45337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45337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45337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45337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45337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45337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45337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45337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45337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45337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45337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45337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45337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45337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45337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45337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45337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45337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45337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45337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45337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45337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45337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45337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45337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45337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45337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45337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45337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45337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45337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45337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45337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45337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45337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45337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45337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45337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45337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45337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45337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45337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45337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45337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45337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45337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45337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45337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45337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45337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45337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45337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45337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45337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45337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45337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45337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45337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45337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45337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45337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45337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45337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45337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45337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45337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45337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45337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45337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45337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45337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45337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45337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45337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45337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45337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45337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45337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45337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45337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45337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45337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45337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45337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45337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45337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45337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45337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45337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45337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45337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45337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2778-2024</t>
        </is>
      </c>
      <c r="B1002" s="1" t="n">
        <v>45314</v>
      </c>
      <c r="C1002" s="1" t="n">
        <v>45337</v>
      </c>
      <c r="D1002" t="inlineStr">
        <is>
          <t>KALMAR LÄN</t>
        </is>
      </c>
      <c r="E1002" t="inlineStr">
        <is>
          <t>OSKARSHAMN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2782-2024</t>
        </is>
      </c>
      <c r="B1003" s="1" t="n">
        <v>45314</v>
      </c>
      <c r="C1003" s="1" t="n">
        <v>45337</v>
      </c>
      <c r="D1003" t="inlineStr">
        <is>
          <t>KALMAR LÄN</t>
        </is>
      </c>
      <c r="E1003" t="inlineStr">
        <is>
          <t>OSKARSHAMN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45337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45337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45337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45337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45337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45337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45337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45337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4880-2024</t>
        </is>
      </c>
      <c r="B1012" s="1" t="n">
        <v>45329</v>
      </c>
      <c r="C1012" s="1" t="n">
        <v>45337</v>
      </c>
      <c r="D1012" t="inlineStr">
        <is>
          <t>KALMAR LÄN</t>
        </is>
      </c>
      <c r="E1012" t="inlineStr">
        <is>
          <t>OSKARSHAMN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4962-2024</t>
        </is>
      </c>
      <c r="B1013" s="1" t="n">
        <v>45329</v>
      </c>
      <c r="C1013" s="1" t="n">
        <v>45337</v>
      </c>
      <c r="D1013" t="inlineStr">
        <is>
          <t>KALMAR LÄN</t>
        </is>
      </c>
      <c r="E1013" t="inlineStr">
        <is>
          <t>OSKARSHAMN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5055-2024</t>
        </is>
      </c>
      <c r="B1014" s="1" t="n">
        <v>45329</v>
      </c>
      <c r="C1014" s="1" t="n">
        <v>45337</v>
      </c>
      <c r="D1014" t="inlineStr">
        <is>
          <t>KALMAR LÄN</t>
        </is>
      </c>
      <c r="E1014" t="inlineStr">
        <is>
          <t>OSKARSHAMN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5054-2024</t>
        </is>
      </c>
      <c r="B1015" s="1" t="n">
        <v>45329</v>
      </c>
      <c r="C1015" s="1" t="n">
        <v>45337</v>
      </c>
      <c r="D1015" t="inlineStr">
        <is>
          <t>KALMAR LÄN</t>
        </is>
      </c>
      <c r="E1015" t="inlineStr">
        <is>
          <t>OSKARSHAMN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5046-2024</t>
        </is>
      </c>
      <c r="B1016" s="1" t="n">
        <v>45329</v>
      </c>
      <c r="C1016" s="1" t="n">
        <v>45337</v>
      </c>
      <c r="D1016" t="inlineStr">
        <is>
          <t>KALMAR LÄN</t>
        </is>
      </c>
      <c r="E1016" t="inlineStr">
        <is>
          <t>OSKARSHAMN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45337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45337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45337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5563-2024</t>
        </is>
      </c>
      <c r="B1020" s="1" t="n">
        <v>45334</v>
      </c>
      <c r="C1020" s="1" t="n">
        <v>45337</v>
      </c>
      <c r="D1020" t="inlineStr">
        <is>
          <t>KALMAR LÄN</t>
        </is>
      </c>
      <c r="E1020" t="inlineStr">
        <is>
          <t>OSKARSHAMN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45337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5553-2024</t>
        </is>
      </c>
      <c r="B1022" s="1" t="n">
        <v>45334</v>
      </c>
      <c r="C1022" s="1" t="n">
        <v>45337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2024-02-15T10:55:13Z</dcterms:created>
  <dcterms:modified xmlns:dcterms="http://purl.org/dc/terms/" xmlns:xsi="http://www.w3.org/2001/XMLSchema-instance" xsi:type="dcterms:W3CDTF">2024-02-15T10:55:13Z</dcterms:modified>
</cp:coreProperties>
</file>