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46250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46250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46250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46250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46250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46250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46250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46250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46250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46250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46250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46250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46250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46250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46250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46250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46250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46250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46250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46250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41442-2023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46250</v>
      </c>
      <c r="F30" t="inlineStr">
        <is>
          <t>KALMAR LÄN</t>
        </is>
      </c>
      <c r="G30" t="inlineStr">
        <is>
          <t>OSKARSHAMN</t>
        </is>
      </c>
      <c r="I30" t="n">
        <v>5.1</v>
      </c>
      <c r="J30" t="n">
        <v>0</v>
      </c>
      <c r="K30" t="n">
        <v>0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Klubbsprötad bastardsvärmare
Solvända</t>
        </is>
      </c>
      <c r="W30">
        <f>HYPERLINK("https://klasma.github.io/Logging_0882/artfynd/A 41442-2023 artfynd.xlsx", "A 41442-2023")</f>
        <v/>
      </c>
      <c r="X30">
        <f>HYPERLINK("https://klasma.github.io/Logging_0882/kartor/A 41442-2023 karta.png", "A 41442-2023")</f>
        <v/>
      </c>
      <c r="Y30">
        <f>HYPERLINK("https://klasma.github.io/Logging_0882/kartor_geotiff/A 41442-2023 georefererad karta.tif", "A 41442-2023")</f>
        <v/>
      </c>
      <c r="AA30">
        <f>HYPERLINK("https://klasma.github.io/Logging_0882/klagomål/A 41442-2023 FSC-klagomål.docx", "A 41442-2023")</f>
        <v/>
      </c>
      <c r="AB30">
        <f>HYPERLINK("https://klasma.github.io/Logging_0882/klagomålsmail/A 41442-2023 FSC-klagomål mail.docx", "A 41442-2023")</f>
        <v/>
      </c>
      <c r="AC30">
        <f>HYPERLINK("https://klasma.github.io/Logging_0882/tillsyn/A 41442-2023 tillsynsbegäran.docx", "A 41442-2023")</f>
        <v/>
      </c>
      <c r="AD30">
        <f>HYPERLINK("https://klasma.github.io/Logging_0882/tillsynsmail/A 41442-2023 tillsynsbegäran mail.docx", "A 41442-2023")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46250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46250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46250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46250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46250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46250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46250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46250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46250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46250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46250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46250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46250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46250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46250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39629-2022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46250</v>
      </c>
      <c r="F53" t="inlineStr">
        <is>
          <t>KALMAR LÄN</t>
        </is>
      </c>
      <c r="G53" t="inlineStr">
        <is>
          <t>OSKARSHAMN</t>
        </is>
      </c>
      <c r="I53" t="n">
        <v>14.8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Åttafläckig praktbagge</t>
        </is>
      </c>
      <c r="W53">
        <f>HYPERLINK("https://klasma.github.io/Logging_0882/artfynd/A 39629-2022 artfynd.xlsx", "A 39629-2022")</f>
        <v/>
      </c>
      <c r="X53">
        <f>HYPERLINK("https://klasma.github.io/Logging_0882/kartor/A 39629-2022 karta.png", "A 39629-2022")</f>
        <v/>
      </c>
      <c r="Y53">
        <f>HYPERLINK("https://klasma.github.io/Logging_0882/kartor_geotiff/A 39629-2022 georefererad karta.tif", "A 39629-2022")</f>
        <v/>
      </c>
      <c r="AA53">
        <f>HYPERLINK("https://klasma.github.io/Logging_0882/klagomål/A 39629-2022 FSC-klagomål.docx", "A 39629-2022")</f>
        <v/>
      </c>
      <c r="AB53">
        <f>HYPERLINK("https://klasma.github.io/Logging_0882/klagomålsmail/A 39629-2022 FSC-klagomål mail.docx", "A 39629-2022")</f>
        <v/>
      </c>
      <c r="AC53">
        <f>HYPERLINK("https://klasma.github.io/Logging_0882/tillsyn/A 39629-2022 tillsynsbegäran.docx", "A 39629-2022")</f>
        <v/>
      </c>
      <c r="AD53">
        <f>HYPERLINK("https://klasma.github.io/Logging_0882/tillsynsmail/A 39629-2022 tillsynsbegäran mail.docx", "A 39629-2022")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46250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46250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46250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46250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46250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HYPERLINK("https://klasma.github.io/Logging_0882/artfynd/A 24769-2025 artfynd.xlsx", "A 24769-2025")</f>
        <v/>
      </c>
      <c r="X58">
        <f>HYPERLINK("https://klasma.github.io/Logging_0882/kartor/A 24769-2025 karta.png", "A 24769-2025")</f>
        <v/>
      </c>
      <c r="Y58">
        <f>HYPERLINK("https://klasma.github.io/Logging_0882/kartor_geotiff/A 24769-2025 georefererad karta.tif", "A 24769-2025")</f>
        <v/>
      </c>
      <c r="AA58">
        <f>HYPERLINK("https://klasma.github.io/Logging_0882/klagomål/A 24769-2025 FSC-klagomål.docx", "A 24769-2025")</f>
        <v/>
      </c>
      <c r="AB58">
        <f>HYPERLINK("https://klasma.github.io/Logging_0882/klagomålsmail/A 24769-2025 FSC-klagomål mail.docx", "A 24769-2025")</f>
        <v/>
      </c>
      <c r="AC58">
        <f>HYPERLINK("https://klasma.github.io/Logging_0882/tillsyn/A 24769-2025 tillsynsbegäran.docx", "A 24769-2025")</f>
        <v/>
      </c>
      <c r="AD58">
        <f>HYPERLINK("https://klasma.github.io/Logging_0882/tillsynsmail/A 24769-2025 tillsynsbegäran mail.docx", "A 24769-2025")</f>
        <v/>
      </c>
      <c r="AE58">
        <f>HYPERLINK("https://klasma.github.io/Logging_0882/fåglar/A 24769-2025 prioriterade fågelarter.docx", "A 24769-2025")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46250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46250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46250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46250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46250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A 26730-2026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46250</v>
      </c>
      <c r="F64" t="inlineStr">
        <is>
          <t>KALMAR LÄN</t>
        </is>
      </c>
      <c r="G64" t="inlineStr">
        <is>
          <t>OSKARSHAMN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Mosippa</t>
        </is>
      </c>
      <c r="W64">
        <f>HYPERLINK("https://klasma.github.io/Logging_0882/artfynd/A 26730-2026 artfynd.xlsx", "A 26730-2026")</f>
        <v/>
      </c>
      <c r="X64">
        <f>HYPERLINK("https://klasma.github.io/Logging_0882/kartor/A 26730-2026 karta.png", "A 26730-2026")</f>
        <v/>
      </c>
      <c r="Y64">
        <f>HYPERLINK("https://klasma.github.io/Logging_0882/kartor_geotiff/A 26730-2026 georefererad karta.tif", "A 26730-2026")</f>
        <v/>
      </c>
      <c r="AA64">
        <f>HYPERLINK("https://klasma.github.io/Logging_0882/klagomål/A 26730-2026 FSC-klagomål.docx", "A 26730-2026")</f>
        <v/>
      </c>
      <c r="AB64">
        <f>HYPERLINK("https://klasma.github.io/Logging_0882/klagomålsmail/A 26730-2026 FSC-klagomål mail.docx", "A 26730-2026")</f>
        <v/>
      </c>
      <c r="AC64">
        <f>HYPERLINK("https://klasma.github.io/Logging_0882/tillsyn/A 26730-2026 tillsynsbegäran.docx", "A 26730-2026")</f>
        <v/>
      </c>
      <c r="AD64">
        <f>HYPERLINK("https://klasma.github.io/Logging_0882/tillsynsmail/A 26730-2026 tillsynsbegäran mail.docx", "A 26730-2026")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46250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46250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46250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46250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46250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46250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46250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46250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46250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46250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46250</v>
      </c>
      <c r="F75" t="inlineStr">
        <is>
          <t>KALMAR LÄN</t>
        </is>
      </c>
      <c r="G75" t="inlineStr">
        <is>
          <t>OSKARSHAMN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46250</v>
      </c>
      <c r="F76" t="inlineStr">
        <is>
          <t>KALMAR LÄN</t>
        </is>
      </c>
      <c r="G76" t="inlineStr">
        <is>
          <t>OSKARSHAMN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46250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46250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46250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46250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46250</v>
      </c>
      <c r="F81" t="inlineStr">
        <is>
          <t>KALMAR LÄN</t>
        </is>
      </c>
      <c r="G81" t="inlineStr">
        <is>
          <t>OSKARSHAMN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46250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44443</v>
      </c>
      <c r="E83" s="1" t="n">
        <v>46250</v>
      </c>
      <c r="F83" t="inlineStr">
        <is>
          <t>KALMAR LÄN</t>
        </is>
      </c>
      <c r="G83" t="inlineStr">
        <is>
          <t>OSKARSHAMN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44855</v>
      </c>
      <c r="E84" s="1" t="n">
        <v>46250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46250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46250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46250</v>
      </c>
      <c r="F87" t="inlineStr">
        <is>
          <t>KALMAR LÄN</t>
        </is>
      </c>
      <c r="G87" t="inlineStr">
        <is>
          <t>OSKARSHAMN</t>
        </is>
      </c>
      <c r="H87" t="inlineStr">
        <is>
          <t>Övriga Aktiebolag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46250</v>
      </c>
      <c r="F88" t="inlineStr">
        <is>
          <t>KALMAR LÄN</t>
        </is>
      </c>
      <c r="G88" t="inlineStr">
        <is>
          <t>OSKARSHAMN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46250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46250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46250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44483</v>
      </c>
      <c r="E92" s="1" t="n">
        <v>46250</v>
      </c>
      <c r="F92" t="inlineStr">
        <is>
          <t>KALMAR LÄN</t>
        </is>
      </c>
      <c r="G92" t="inlineStr">
        <is>
          <t>OSKARSHAMN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44428</v>
      </c>
      <c r="E93" s="1" t="n">
        <v>46250</v>
      </c>
      <c r="F93" t="inlineStr">
        <is>
          <t>KALMAR LÄN</t>
        </is>
      </c>
      <c r="G93" t="inlineStr">
        <is>
          <t>OSKARSHAMN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46250</v>
      </c>
      <c r="F94" t="inlineStr">
        <is>
          <t>KALMAR LÄN</t>
        </is>
      </c>
      <c r="G94" t="inlineStr">
        <is>
          <t>OSKARSHAMN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46250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46250</v>
      </c>
      <c r="F96" t="inlineStr">
        <is>
          <t>KALMAR LÄN</t>
        </is>
      </c>
      <c r="G96" t="inlineStr">
        <is>
          <t>OSKARSHAMN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46250</v>
      </c>
      <c r="F97" t="inlineStr">
        <is>
          <t>KALMAR LÄN</t>
        </is>
      </c>
      <c r="G97" t="inlineStr">
        <is>
          <t>OSKARSHAMN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46250</v>
      </c>
      <c r="F98" t="inlineStr">
        <is>
          <t>KALMAR LÄN</t>
        </is>
      </c>
      <c r="G98" t="inlineStr">
        <is>
          <t>OSKARSHAMN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46250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46250</v>
      </c>
      <c r="F100" t="inlineStr">
        <is>
          <t>KALMAR LÄN</t>
        </is>
      </c>
      <c r="G100" t="inlineStr">
        <is>
          <t>OSKARSHAMN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46250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46250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46250</v>
      </c>
      <c r="F103" t="inlineStr">
        <is>
          <t>KALMAR LÄN</t>
        </is>
      </c>
      <c r="G103" t="inlineStr">
        <is>
          <t>OSKARSHAMN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46250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46250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46250</v>
      </c>
      <c r="F106" t="inlineStr">
        <is>
          <t>KALMAR LÄN</t>
        </is>
      </c>
      <c r="G106" t="inlineStr">
        <is>
          <t>OSKARSHAMN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46250</v>
      </c>
      <c r="F107" t="inlineStr">
        <is>
          <t>KALMAR LÄN</t>
        </is>
      </c>
      <c r="G107" t="inlineStr">
        <is>
          <t>OSKARSHAMN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46250</v>
      </c>
      <c r="F108" t="inlineStr">
        <is>
          <t>KALMAR LÄN</t>
        </is>
      </c>
      <c r="G108" t="inlineStr">
        <is>
          <t>OSKARSHAMN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46250</v>
      </c>
      <c r="F109" t="inlineStr">
        <is>
          <t>KALMAR LÄN</t>
        </is>
      </c>
      <c r="G109" t="inlineStr">
        <is>
          <t>OSKARSHAMN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46250</v>
      </c>
      <c r="F110" t="inlineStr">
        <is>
          <t>KALMAR LÄN</t>
        </is>
      </c>
      <c r="G110" t="inlineStr">
        <is>
          <t>OSKARSHAMN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46250</v>
      </c>
      <c r="F111" t="inlineStr">
        <is>
          <t>KALMAR LÄN</t>
        </is>
      </c>
      <c r="G111" t="inlineStr">
        <is>
          <t>OSKARSHAMN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46250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46250</v>
      </c>
      <c r="F113" t="inlineStr">
        <is>
          <t>KALMAR LÄN</t>
        </is>
      </c>
      <c r="G113" t="inlineStr">
        <is>
          <t>OSKARSHAMN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46250</v>
      </c>
      <c r="F114" t="inlineStr">
        <is>
          <t>KALMAR LÄN</t>
        </is>
      </c>
      <c r="G114" t="inlineStr">
        <is>
          <t>OSKARSHAMN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46250</v>
      </c>
      <c r="F115" t="inlineStr">
        <is>
          <t>KALMAR LÄN</t>
        </is>
      </c>
      <c r="G115" t="inlineStr">
        <is>
          <t>OSKARSHAMN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46250</v>
      </c>
      <c r="F116" t="inlineStr">
        <is>
          <t>KALMAR LÄN</t>
        </is>
      </c>
      <c r="G116" t="inlineStr">
        <is>
          <t>OSKARSHAMN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44713</v>
      </c>
      <c r="E117" s="1" t="n">
        <v>46250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46250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46250</v>
      </c>
      <c r="F119" t="inlineStr">
        <is>
          <t>KALMAR LÄN</t>
        </is>
      </c>
      <c r="G119" t="inlineStr">
        <is>
          <t>OSKARSHAMN</t>
        </is>
      </c>
      <c r="H119" t="inlineStr">
        <is>
          <t>Övriga Aktiebolag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44749</v>
      </c>
      <c r="E120" s="1" t="n">
        <v>46250</v>
      </c>
      <c r="F120" t="inlineStr">
        <is>
          <t>KALMAR LÄN</t>
        </is>
      </c>
      <c r="G120" t="inlineStr">
        <is>
          <t>OSKARSHAMN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46250</v>
      </c>
      <c r="F121" t="inlineStr">
        <is>
          <t>KALMAR LÄN</t>
        </is>
      </c>
      <c r="G121" t="inlineStr">
        <is>
          <t>OSKARSHAMN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46250</v>
      </c>
      <c r="F122" t="inlineStr">
        <is>
          <t>KALMAR LÄN</t>
        </is>
      </c>
      <c r="G122" t="inlineStr">
        <is>
          <t>OSKARSHAMN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46250</v>
      </c>
      <c r="F123" t="inlineStr">
        <is>
          <t>KALMAR LÄN</t>
        </is>
      </c>
      <c r="G123" t="inlineStr">
        <is>
          <t>OSKARSHAMN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46250</v>
      </c>
      <c r="F124" t="inlineStr">
        <is>
          <t>KALMAR LÄN</t>
        </is>
      </c>
      <c r="G124" t="inlineStr">
        <is>
          <t>OSKARSHAMN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46250</v>
      </c>
      <c r="F125" t="inlineStr">
        <is>
          <t>KALMAR LÄN</t>
        </is>
      </c>
      <c r="G125" t="inlineStr">
        <is>
          <t>OSKARSHAMN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46250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46250</v>
      </c>
      <c r="F127" t="inlineStr">
        <is>
          <t>KALMAR LÄN</t>
        </is>
      </c>
      <c r="G127" t="inlineStr">
        <is>
          <t>OSKARSHAMN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46250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44756</v>
      </c>
      <c r="E129" s="1" t="n">
        <v>46250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46250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46250</v>
      </c>
      <c r="F131" t="inlineStr">
        <is>
          <t>KALMAR LÄN</t>
        </is>
      </c>
      <c r="G131" t="inlineStr">
        <is>
          <t>OSKARSHAMN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46250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46250</v>
      </c>
      <c r="F133" t="inlineStr">
        <is>
          <t>KALMAR LÄN</t>
        </is>
      </c>
      <c r="G133" t="inlineStr">
        <is>
          <t>OSKARSHAMN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46250</v>
      </c>
      <c r="F134" t="inlineStr">
        <is>
          <t>KALMAR LÄN</t>
        </is>
      </c>
      <c r="G134" t="inlineStr">
        <is>
          <t>OSKARSHAMN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46250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46250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46250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44443</v>
      </c>
      <c r="E138" s="1" t="n">
        <v>46250</v>
      </c>
      <c r="F138" t="inlineStr">
        <is>
          <t>KALMAR LÄN</t>
        </is>
      </c>
      <c r="G138" t="inlineStr">
        <is>
          <t>OSKARSHAMN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44756</v>
      </c>
      <c r="E139" s="1" t="n">
        <v>46250</v>
      </c>
      <c r="F139" t="inlineStr">
        <is>
          <t>KALMAR LÄN</t>
        </is>
      </c>
      <c r="G139" t="inlineStr">
        <is>
          <t>OSKARSHAMN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44756</v>
      </c>
      <c r="E140" s="1" t="n">
        <v>46250</v>
      </c>
      <c r="F140" t="inlineStr">
        <is>
          <t>KALMAR LÄN</t>
        </is>
      </c>
      <c r="G140" t="inlineStr">
        <is>
          <t>OSKARSHAMN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44791</v>
      </c>
      <c r="E141" s="1" t="n">
        <v>46250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46250</v>
      </c>
      <c r="F142" t="inlineStr">
        <is>
          <t>KALMAR LÄN</t>
        </is>
      </c>
      <c r="G142" t="inlineStr">
        <is>
          <t>OSKARSHAMN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46250</v>
      </c>
      <c r="F143" t="inlineStr">
        <is>
          <t>KALMAR LÄN</t>
        </is>
      </c>
      <c r="G143" t="inlineStr">
        <is>
          <t>OSKARSHAMN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46250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45323</v>
      </c>
      <c r="E145" s="1" t="n">
        <v>46250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46250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46250</v>
      </c>
      <c r="F147" t="inlineStr">
        <is>
          <t>KALMAR LÄN</t>
        </is>
      </c>
      <c r="G147" t="inlineStr">
        <is>
          <t>OSKARSHAMN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44818</v>
      </c>
      <c r="E148" s="1" t="n">
        <v>46250</v>
      </c>
      <c r="F148" t="inlineStr">
        <is>
          <t>KALMAR LÄN</t>
        </is>
      </c>
      <c r="G148" t="inlineStr">
        <is>
          <t>OSKARSHAMN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44818</v>
      </c>
      <c r="E149" s="1" t="n">
        <v>46250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10800-2022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46250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46250</v>
      </c>
      <c r="F151" t="inlineStr">
        <is>
          <t>KALMAR LÄN</t>
        </is>
      </c>
      <c r="G151" t="inlineStr">
        <is>
          <t>OSKARSHAMN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46250</v>
      </c>
      <c r="F152" t="inlineStr">
        <is>
          <t>KALMAR LÄN</t>
        </is>
      </c>
      <c r="G152" t="inlineStr">
        <is>
          <t>OSKARSHAMN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46250</v>
      </c>
      <c r="F153" t="inlineStr">
        <is>
          <t>KALMAR LÄN</t>
        </is>
      </c>
      <c r="G153" t="inlineStr">
        <is>
          <t>OSKARSHAMN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46250</v>
      </c>
      <c r="F154" t="inlineStr">
        <is>
          <t>KALMAR LÄN</t>
        </is>
      </c>
      <c r="G154" t="inlineStr">
        <is>
          <t>OSKARSHAMN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46250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46250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46250</v>
      </c>
      <c r="F157" t="inlineStr">
        <is>
          <t>KALMAR LÄN</t>
        </is>
      </c>
      <c r="G157" t="inlineStr">
        <is>
          <t>OSKARSHAMN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44461</v>
      </c>
      <c r="E158" s="1" t="n">
        <v>46250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45490</v>
      </c>
      <c r="E159" s="1" t="n">
        <v>46250</v>
      </c>
      <c r="F159" t="inlineStr">
        <is>
          <t>KALMAR LÄN</t>
        </is>
      </c>
      <c r="G159" t="inlineStr">
        <is>
          <t>OSKARSHAMN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46250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46250</v>
      </c>
      <c r="F161" t="inlineStr">
        <is>
          <t>KALMAR LÄN</t>
        </is>
      </c>
      <c r="G161" t="inlineStr">
        <is>
          <t>OSKARSHAMN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46250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46250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46250</v>
      </c>
      <c r="F164" t="inlineStr">
        <is>
          <t>KALMAR LÄN</t>
        </is>
      </c>
      <c r="G164" t="inlineStr">
        <is>
          <t>OSKARSHAMN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46250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34066-2024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46250</v>
      </c>
      <c r="F166" t="inlineStr">
        <is>
          <t>KALMAR LÄN</t>
        </is>
      </c>
      <c r="G166" t="inlineStr">
        <is>
          <t>OSKARSHAMN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46250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46250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46250</v>
      </c>
      <c r="F169" t="inlineStr">
        <is>
          <t>KALMAR LÄN</t>
        </is>
      </c>
      <c r="G169" t="inlineStr">
        <is>
          <t>OSKARSHAMN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46250</v>
      </c>
      <c r="F170" t="inlineStr">
        <is>
          <t>KALMAR LÄN</t>
        </is>
      </c>
      <c r="G170" t="inlineStr">
        <is>
          <t>OSKARSHAMN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46250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46250</v>
      </c>
      <c r="F172" t="inlineStr">
        <is>
          <t>KALMAR LÄN</t>
        </is>
      </c>
      <c r="G172" t="inlineStr">
        <is>
          <t>OSKARSHAMN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46250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42751-2025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45908</v>
      </c>
      <c r="E174" s="1" t="n">
        <v>46250</v>
      </c>
      <c r="F174" t="inlineStr">
        <is>
          <t>KALMAR LÄN</t>
        </is>
      </c>
      <c r="G174" t="inlineStr">
        <is>
          <t>OSKARSHAMN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46250</v>
      </c>
      <c r="F175" t="inlineStr">
        <is>
          <t>KALMAR LÄN</t>
        </is>
      </c>
      <c r="G175" t="inlineStr">
        <is>
          <t>OSKARSHAMN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42693-2025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46250</v>
      </c>
      <c r="F176" t="inlineStr">
        <is>
          <t>KALMAR LÄN</t>
        </is>
      </c>
      <c r="G176" t="inlineStr">
        <is>
          <t>OSKARSHAMN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46250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46250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46250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46250</v>
      </c>
      <c r="F180" t="inlineStr">
        <is>
          <t>KALMAR LÄN</t>
        </is>
      </c>
      <c r="G180" t="inlineStr">
        <is>
          <t>OSKARSHAMN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46250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46250</v>
      </c>
      <c r="F182" t="inlineStr">
        <is>
          <t>KALMAR LÄN</t>
        </is>
      </c>
      <c r="G182" t="inlineStr">
        <is>
          <t>OSKARSHAMN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46250</v>
      </c>
      <c r="F183" t="inlineStr">
        <is>
          <t>KALMAR LÄN</t>
        </is>
      </c>
      <c r="G183" t="inlineStr">
        <is>
          <t>OSKARSHAMN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46250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46250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46250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46250</v>
      </c>
      <c r="F187" t="inlineStr">
        <is>
          <t>KALMAR LÄN</t>
        </is>
      </c>
      <c r="G187" t="inlineStr">
        <is>
          <t>OSKARSHAMN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46250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46250</v>
      </c>
      <c r="F189" t="inlineStr">
        <is>
          <t>KALMAR LÄN</t>
        </is>
      </c>
      <c r="G189" t="inlineStr">
        <is>
          <t>OSKARSHAMN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46250</v>
      </c>
      <c r="F190" t="inlineStr">
        <is>
          <t>KALMAR LÄN</t>
        </is>
      </c>
      <c r="G190" t="inlineStr">
        <is>
          <t>OSKARSHAMN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46250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46250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46250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46250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46250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46250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46250</v>
      </c>
      <c r="F197" t="inlineStr">
        <is>
          <t>KALMAR LÄN</t>
        </is>
      </c>
      <c r="G197" t="inlineStr">
        <is>
          <t>OSKARSHAMN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46250</v>
      </c>
      <c r="F198" t="inlineStr">
        <is>
          <t>KALMAR LÄN</t>
        </is>
      </c>
      <c r="G198" t="inlineStr">
        <is>
          <t>OSKARSHAMN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46250</v>
      </c>
      <c r="F199" t="inlineStr">
        <is>
          <t>KALMAR LÄN</t>
        </is>
      </c>
      <c r="G199" t="inlineStr">
        <is>
          <t>OSKARSHAMN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46250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45349</v>
      </c>
      <c r="E201" s="1" t="n">
        <v>46250</v>
      </c>
      <c r="F201" t="inlineStr">
        <is>
          <t>KALMAR LÄN</t>
        </is>
      </c>
      <c r="G201" t="inlineStr">
        <is>
          <t>OSKARSHAMN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46250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46250</v>
      </c>
      <c r="F203" t="inlineStr">
        <is>
          <t>KALMAR LÄN</t>
        </is>
      </c>
      <c r="G203" t="inlineStr">
        <is>
          <t>OSKARSHAMN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46250</v>
      </c>
      <c r="F204" t="inlineStr">
        <is>
          <t>KALMAR LÄN</t>
        </is>
      </c>
      <c r="G204" t="inlineStr">
        <is>
          <t>OSKARSHAMN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46250</v>
      </c>
      <c r="F205" t="inlineStr">
        <is>
          <t>KALMAR LÄN</t>
        </is>
      </c>
      <c r="G205" t="inlineStr">
        <is>
          <t>OSKARSHAMN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46250</v>
      </c>
      <c r="F206" t="inlineStr">
        <is>
          <t>KALMAR LÄN</t>
        </is>
      </c>
      <c r="G206" t="inlineStr">
        <is>
          <t>OSKARSHAMN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62623-2021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46250</v>
      </c>
      <c r="F207" t="inlineStr">
        <is>
          <t>KALMAR LÄN</t>
        </is>
      </c>
      <c r="G207" t="inlineStr">
        <is>
          <t>OSKARSHAMN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46250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46250</v>
      </c>
      <c r="F209" t="inlineStr">
        <is>
          <t>KALMAR LÄN</t>
        </is>
      </c>
      <c r="G209" t="inlineStr">
        <is>
          <t>OSKARSHAMN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46250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44995</v>
      </c>
      <c r="E211" s="1" t="n">
        <v>46250</v>
      </c>
      <c r="F211" t="inlineStr">
        <is>
          <t>KALMAR LÄN</t>
        </is>
      </c>
      <c r="G211" t="inlineStr">
        <is>
          <t>OSKARSHAMN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71342-2021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46250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46250</v>
      </c>
      <c r="F213" t="inlineStr">
        <is>
          <t>KALMAR LÄN</t>
        </is>
      </c>
      <c r="G213" t="inlineStr">
        <is>
          <t>OSKARSHAMN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46250</v>
      </c>
      <c r="F214" t="inlineStr">
        <is>
          <t>KALMAR LÄN</t>
        </is>
      </c>
      <c r="G214" t="inlineStr">
        <is>
          <t>OSKARSHAMN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46250</v>
      </c>
      <c r="F215" t="inlineStr">
        <is>
          <t>KALMAR LÄN</t>
        </is>
      </c>
      <c r="G215" t="inlineStr">
        <is>
          <t>OSKARSHAMN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46250</v>
      </c>
      <c r="F216" t="inlineStr">
        <is>
          <t>KALMAR LÄN</t>
        </is>
      </c>
      <c r="G216" t="inlineStr">
        <is>
          <t>OSKARSHAMN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46250</v>
      </c>
      <c r="F217" t="inlineStr">
        <is>
          <t>KALMAR LÄN</t>
        </is>
      </c>
      <c r="G217" t="inlineStr">
        <is>
          <t>OSKARSHAMN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46250</v>
      </c>
      <c r="F218" t="inlineStr">
        <is>
          <t>KALMAR LÄN</t>
        </is>
      </c>
      <c r="G218" t="inlineStr">
        <is>
          <t>OSKARSHAMN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46250</v>
      </c>
      <c r="F219" t="inlineStr">
        <is>
          <t>KALMAR LÄN</t>
        </is>
      </c>
      <c r="G219" t="inlineStr">
        <is>
          <t>OSKARSHAMN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46250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46250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46250</v>
      </c>
      <c r="F222" t="inlineStr">
        <is>
          <t>KALMAR LÄN</t>
        </is>
      </c>
      <c r="G222" t="inlineStr">
        <is>
          <t>OSKARSHAMN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45490</v>
      </c>
      <c r="E223" s="1" t="n">
        <v>46250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44488</v>
      </c>
      <c r="E224" s="1" t="n">
        <v>46250</v>
      </c>
      <c r="F224" t="inlineStr">
        <is>
          <t>KALMAR LÄN</t>
        </is>
      </c>
      <c r="G224" t="inlineStr">
        <is>
          <t>OSKARSHAMN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46250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46250</v>
      </c>
      <c r="F226" t="inlineStr">
        <is>
          <t>KALMAR LÄN</t>
        </is>
      </c>
      <c r="G226" t="inlineStr">
        <is>
          <t>OSKARSHAMN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46250</v>
      </c>
      <c r="F227" t="inlineStr">
        <is>
          <t>KALMAR LÄN</t>
        </is>
      </c>
      <c r="G227" t="inlineStr">
        <is>
          <t>OSKARSHAMN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46250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46250</v>
      </c>
      <c r="F229" t="inlineStr">
        <is>
          <t>KALMAR LÄN</t>
        </is>
      </c>
      <c r="G229" t="inlineStr">
        <is>
          <t>OSKARSHAMN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46250</v>
      </c>
      <c r="F230" t="inlineStr">
        <is>
          <t>KALMAR LÄN</t>
        </is>
      </c>
      <c r="G230" t="inlineStr">
        <is>
          <t>OSKARSHAMN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46250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46250</v>
      </c>
      <c r="F232" t="inlineStr">
        <is>
          <t>KALMAR LÄN</t>
        </is>
      </c>
      <c r="G232" t="inlineStr">
        <is>
          <t>OSKARSHAMN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44879</v>
      </c>
      <c r="E233" s="1" t="n">
        <v>46250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44621</v>
      </c>
      <c r="E234" s="1" t="n">
        <v>46250</v>
      </c>
      <c r="F234" t="inlineStr">
        <is>
          <t>KALMAR LÄN</t>
        </is>
      </c>
      <c r="G234" t="inlineStr">
        <is>
          <t>OSKARSHAMN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46250</v>
      </c>
      <c r="F235" t="inlineStr">
        <is>
          <t>KALMAR LÄN</t>
        </is>
      </c>
      <c r="G235" t="inlineStr">
        <is>
          <t>OSKARSHAMN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46250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46250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46250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46250</v>
      </c>
      <c r="F239" t="inlineStr">
        <is>
          <t>KALMAR LÄN</t>
        </is>
      </c>
      <c r="G239" t="inlineStr">
        <is>
          <t>OSKARSHAMN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13204-2024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45386</v>
      </c>
      <c r="E240" s="1" t="n">
        <v>46250</v>
      </c>
      <c r="F240" t="inlineStr">
        <is>
          <t>KALMAR LÄN</t>
        </is>
      </c>
      <c r="G240" t="inlineStr">
        <is>
          <t>OSKARSHAMN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15310-2026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46250</v>
      </c>
      <c r="F241" t="inlineStr">
        <is>
          <t>KALMAR LÄN</t>
        </is>
      </c>
      <c r="G241" t="inlineStr">
        <is>
          <t>OSKARSHAMN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46250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46250</v>
      </c>
      <c r="F243" t="inlineStr">
        <is>
          <t>KALMAR LÄN</t>
        </is>
      </c>
      <c r="G243" t="inlineStr">
        <is>
          <t>OSKARSHAMN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46250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46250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46250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46250</v>
      </c>
      <c r="F247" t="inlineStr">
        <is>
          <t>KALMAR LÄN</t>
        </is>
      </c>
      <c r="G247" t="inlineStr">
        <is>
          <t>OSKARSHAMN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45523</v>
      </c>
      <c r="E248" s="1" t="n">
        <v>46250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46250</v>
      </c>
      <c r="F249" t="inlineStr">
        <is>
          <t>KALMAR LÄN</t>
        </is>
      </c>
      <c r="G249" t="inlineStr">
        <is>
          <t>OSKARSHAMN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22801-2024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45448</v>
      </c>
      <c r="E250" s="1" t="n">
        <v>46250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44467</v>
      </c>
      <c r="E251" s="1" t="n">
        <v>46250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46250</v>
      </c>
      <c r="F252" t="inlineStr">
        <is>
          <t>KALMAR LÄN</t>
        </is>
      </c>
      <c r="G252" t="inlineStr">
        <is>
          <t>OSKARSHAMN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46250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46250</v>
      </c>
      <c r="F254" t="inlineStr">
        <is>
          <t>KALMAR LÄN</t>
        </is>
      </c>
      <c r="G254" t="inlineStr">
        <is>
          <t>OSKARSHAMN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46250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46250</v>
      </c>
      <c r="F256" t="inlineStr">
        <is>
          <t>KALMAR LÄN</t>
        </is>
      </c>
      <c r="G256" t="inlineStr">
        <is>
          <t>OSKARSHAMN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45433</v>
      </c>
      <c r="E257" s="1" t="n">
        <v>46250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58406-2021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46250</v>
      </c>
      <c r="F258" t="inlineStr">
        <is>
          <t>KALMAR LÄN</t>
        </is>
      </c>
      <c r="G258" t="inlineStr">
        <is>
          <t>OSKARSHAMN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46250</v>
      </c>
      <c r="F259" t="inlineStr">
        <is>
          <t>KALMAR LÄN</t>
        </is>
      </c>
      <c r="G259" t="inlineStr">
        <is>
          <t>OSKARSHAMN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46250</v>
      </c>
      <c r="F260" t="inlineStr">
        <is>
          <t>KALMAR LÄN</t>
        </is>
      </c>
      <c r="G260" t="inlineStr">
        <is>
          <t>OSKARSHAMN</t>
        </is>
      </c>
      <c r="H260" t="inlineStr">
        <is>
          <t>Övriga Aktiebolag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46250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46250</v>
      </c>
      <c r="F262" t="inlineStr">
        <is>
          <t>KALMAR LÄN</t>
        </is>
      </c>
      <c r="G262" t="inlineStr">
        <is>
          <t>OSKARSHAMN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27684-2022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44743</v>
      </c>
      <c r="E263" s="1" t="n">
        <v>46250</v>
      </c>
      <c r="F263" t="inlineStr">
        <is>
          <t>KALMAR LÄN</t>
        </is>
      </c>
      <c r="G263" t="inlineStr">
        <is>
          <t>OSKARSHAMN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45580</v>
      </c>
      <c r="E264" s="1" t="n">
        <v>46250</v>
      </c>
      <c r="F264" t="inlineStr">
        <is>
          <t>KALMAR LÄN</t>
        </is>
      </c>
      <c r="G264" t="inlineStr">
        <is>
          <t>OSKARSHAMN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44585</v>
      </c>
      <c r="E265" s="1" t="n">
        <v>46250</v>
      </c>
      <c r="F265" t="inlineStr">
        <is>
          <t>KALMAR LÄN</t>
        </is>
      </c>
      <c r="G265" t="inlineStr">
        <is>
          <t>OSKARSHAMN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46250</v>
      </c>
      <c r="F266" t="inlineStr">
        <is>
          <t>KALMAR LÄN</t>
        </is>
      </c>
      <c r="G266" t="inlineStr">
        <is>
          <t>OSKARSHAMN</t>
        </is>
      </c>
      <c r="H266" t="inlineStr">
        <is>
          <t>Kommuner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46250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45695</v>
      </c>
      <c r="E268" s="1" t="n">
        <v>46250</v>
      </c>
      <c r="F268" t="inlineStr">
        <is>
          <t>KALMAR LÄN</t>
        </is>
      </c>
      <c r="G268" t="inlineStr">
        <is>
          <t>OSKARSHAMN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45695</v>
      </c>
      <c r="E269" s="1" t="n">
        <v>46250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46250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46250</v>
      </c>
      <c r="F271" t="inlineStr">
        <is>
          <t>KALMAR LÄN</t>
        </is>
      </c>
      <c r="G271" t="inlineStr">
        <is>
          <t>OSKARSHAMN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46250</v>
      </c>
      <c r="F272" t="inlineStr">
        <is>
          <t>KALMAR LÄN</t>
        </is>
      </c>
      <c r="G272" t="inlineStr">
        <is>
          <t>OSKARSHAMN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46250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46250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46250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50572-2024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45601</v>
      </c>
      <c r="E276" s="1" t="n">
        <v>46250</v>
      </c>
      <c r="F276" t="inlineStr">
        <is>
          <t>KALMAR LÄN</t>
        </is>
      </c>
      <c r="G276" t="inlineStr">
        <is>
          <t>OSKARSHAMN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46250</v>
      </c>
      <c r="F277" t="inlineStr">
        <is>
          <t>KALMAR LÄN</t>
        </is>
      </c>
      <c r="G277" t="inlineStr">
        <is>
          <t>OSKARSHAMN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45604</v>
      </c>
      <c r="E278" s="1" t="n">
        <v>46250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46250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46250</v>
      </c>
      <c r="F280" t="inlineStr">
        <is>
          <t>KALMAR LÄN</t>
        </is>
      </c>
      <c r="G280" t="inlineStr">
        <is>
          <t>OSKARSHAMN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46250</v>
      </c>
      <c r="F281" t="inlineStr">
        <is>
          <t>KALMAR LÄN</t>
        </is>
      </c>
      <c r="G281" t="inlineStr">
        <is>
          <t>OSKARSHAMN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46250</v>
      </c>
      <c r="F282" t="inlineStr">
        <is>
          <t>KALMAR LÄN</t>
        </is>
      </c>
      <c r="G282" t="inlineStr">
        <is>
          <t>OSKARSHAMN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46250</v>
      </c>
      <c r="F283" t="inlineStr">
        <is>
          <t>KALMAR LÄN</t>
        </is>
      </c>
      <c r="G283" t="inlineStr">
        <is>
          <t>OSKARSHAMN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46250</v>
      </c>
      <c r="F284" t="inlineStr">
        <is>
          <t>KALMAR LÄN</t>
        </is>
      </c>
      <c r="G284" t="inlineStr">
        <is>
          <t>OSKARSHAMN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46250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46250</v>
      </c>
      <c r="F286" t="inlineStr">
        <is>
          <t>KALMAR LÄN</t>
        </is>
      </c>
      <c r="G286" t="inlineStr">
        <is>
          <t>OSKARSHAMN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46250</v>
      </c>
      <c r="F287" t="inlineStr">
        <is>
          <t>KALMAR LÄN</t>
        </is>
      </c>
      <c r="G287" t="inlineStr">
        <is>
          <t>OSKARSHAMN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46250</v>
      </c>
      <c r="F288" t="inlineStr">
        <is>
          <t>KALMAR LÄN</t>
        </is>
      </c>
      <c r="G288" t="inlineStr">
        <is>
          <t>OSKARSHAMN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46250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46250</v>
      </c>
      <c r="F290" t="inlineStr">
        <is>
          <t>KALMAR LÄN</t>
        </is>
      </c>
      <c r="G290" t="inlineStr">
        <is>
          <t>OSKARSHAMN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46250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46250</v>
      </c>
      <c r="F292" t="inlineStr">
        <is>
          <t>KALMAR LÄN</t>
        </is>
      </c>
      <c r="G292" t="inlineStr">
        <is>
          <t>OSKARSHAMN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46250</v>
      </c>
      <c r="F293" t="inlineStr">
        <is>
          <t>KALMAR LÄN</t>
        </is>
      </c>
      <c r="G293" t="inlineStr">
        <is>
          <t>OSKARSHAMN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44987</v>
      </c>
      <c r="E294" s="1" t="n">
        <v>46250</v>
      </c>
      <c r="F294" t="inlineStr">
        <is>
          <t>KALMAR LÄN</t>
        </is>
      </c>
      <c r="G294" t="inlineStr">
        <is>
          <t>OSKARSHAMN</t>
        </is>
      </c>
      <c r="H294" t="inlineStr">
        <is>
          <t>Kommuner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46977-2021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44446</v>
      </c>
      <c r="E295" s="1" t="n">
        <v>46250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46250</v>
      </c>
      <c r="F296" t="inlineStr">
        <is>
          <t>KALMAR LÄN</t>
        </is>
      </c>
      <c r="G296" t="inlineStr">
        <is>
          <t>OSKARSHAMN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46250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46250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18978-2026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46128</v>
      </c>
      <c r="E299" s="1" t="n">
        <v>46250</v>
      </c>
      <c r="F299" t="inlineStr">
        <is>
          <t>KALMAR LÄN</t>
        </is>
      </c>
      <c r="G299" t="inlineStr">
        <is>
          <t>OSKARSHAMN</t>
        </is>
      </c>
      <c r="H299" t="inlineStr">
        <is>
          <t>Kommuner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46250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46250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46250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46250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46250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46250</v>
      </c>
      <c r="F305" t="inlineStr">
        <is>
          <t>KALMAR LÄN</t>
        </is>
      </c>
      <c r="G305" t="inlineStr">
        <is>
          <t>OSKARSHAMN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46250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46250</v>
      </c>
      <c r="F307" t="inlineStr">
        <is>
          <t>KALMAR LÄN</t>
        </is>
      </c>
      <c r="G307" t="inlineStr">
        <is>
          <t>OSKARSHAMN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46250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46250</v>
      </c>
      <c r="F309" t="inlineStr">
        <is>
          <t>KALMAR LÄN</t>
        </is>
      </c>
      <c r="G309" t="inlineStr">
        <is>
          <t>OSKARSHAMN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46250</v>
      </c>
      <c r="F310" t="inlineStr">
        <is>
          <t>KALMAR LÄN</t>
        </is>
      </c>
      <c r="G310" t="inlineStr">
        <is>
          <t>OSKARSHAMN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46250</v>
      </c>
      <c r="F311" t="inlineStr">
        <is>
          <t>KALMAR LÄN</t>
        </is>
      </c>
      <c r="G311" t="inlineStr">
        <is>
          <t>OSKARSHAMN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45405</v>
      </c>
      <c r="E312" s="1" t="n">
        <v>46250</v>
      </c>
      <c r="F312" t="inlineStr">
        <is>
          <t>KALMAR LÄN</t>
        </is>
      </c>
      <c r="G312" t="inlineStr">
        <is>
          <t>OSKARSHAMN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45405</v>
      </c>
      <c r="E313" s="1" t="n">
        <v>46250</v>
      </c>
      <c r="F313" t="inlineStr">
        <is>
          <t>KALMAR LÄN</t>
        </is>
      </c>
      <c r="G313" t="inlineStr">
        <is>
          <t>OSKARSHAMN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46250</v>
      </c>
      <c r="F314" t="inlineStr">
        <is>
          <t>KALMAR LÄN</t>
        </is>
      </c>
      <c r="G314" t="inlineStr">
        <is>
          <t>OSKARSHAMN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46250</v>
      </c>
      <c r="F315" t="inlineStr">
        <is>
          <t>KALMAR LÄN</t>
        </is>
      </c>
      <c r="G315" t="inlineStr">
        <is>
          <t>OSKARSHAMN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45256</v>
      </c>
      <c r="E316" s="1" t="n">
        <v>46250</v>
      </c>
      <c r="F316" t="inlineStr">
        <is>
          <t>KALMAR LÄN</t>
        </is>
      </c>
      <c r="G316" t="inlineStr">
        <is>
          <t>OSKARSHAMN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45034</v>
      </c>
      <c r="E317" s="1" t="n">
        <v>46250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46250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46250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46250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45056</v>
      </c>
      <c r="E321" s="1" t="n">
        <v>46250</v>
      </c>
      <c r="F321" t="inlineStr">
        <is>
          <t>KALMAR LÄN</t>
        </is>
      </c>
      <c r="G321" t="inlineStr">
        <is>
          <t>OSKARSHAMN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44995</v>
      </c>
      <c r="E322" s="1" t="n">
        <v>46250</v>
      </c>
      <c r="F322" t="inlineStr">
        <is>
          <t>KALMAR LÄN</t>
        </is>
      </c>
      <c r="G322" t="inlineStr">
        <is>
          <t>OSKARSHAMN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46250</v>
      </c>
      <c r="F323" t="inlineStr">
        <is>
          <t>KALMAR LÄN</t>
        </is>
      </c>
      <c r="G323" t="inlineStr">
        <is>
          <t>OSKARSHAMN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46250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46250</v>
      </c>
      <c r="F325" t="inlineStr">
        <is>
          <t>KALMAR LÄN</t>
        </is>
      </c>
      <c r="G325" t="inlineStr">
        <is>
          <t>OSKARSHAMN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46250</v>
      </c>
      <c r="F326" t="inlineStr">
        <is>
          <t>KALMAR LÄN</t>
        </is>
      </c>
      <c r="G326" t="inlineStr">
        <is>
          <t>OSKARSHAMN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45448</v>
      </c>
      <c r="E327" s="1" t="n">
        <v>46250</v>
      </c>
      <c r="F327" t="inlineStr">
        <is>
          <t>KALMAR LÄN</t>
        </is>
      </c>
      <c r="G327" t="inlineStr">
        <is>
          <t>OSKARSHAMN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45763</v>
      </c>
      <c r="E328" s="1" t="n">
        <v>46250</v>
      </c>
      <c r="F328" t="inlineStr">
        <is>
          <t>KALMAR LÄN</t>
        </is>
      </c>
      <c r="G328" t="inlineStr">
        <is>
          <t>OSKARSHAMN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46250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46250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46250</v>
      </c>
      <c r="F331" t="inlineStr">
        <is>
          <t>KALMAR LÄN</t>
        </is>
      </c>
      <c r="G331" t="inlineStr">
        <is>
          <t>OSKARSHAMN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8656-2022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44613</v>
      </c>
      <c r="E332" s="1" t="n">
        <v>46250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46250</v>
      </c>
      <c r="F333" t="inlineStr">
        <is>
          <t>KALMAR LÄN</t>
        </is>
      </c>
      <c r="G333" t="inlineStr">
        <is>
          <t>OSKARSHAMN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46250</v>
      </c>
      <c r="F334" t="inlineStr">
        <is>
          <t>KALMAR LÄN</t>
        </is>
      </c>
      <c r="G334" t="inlineStr">
        <is>
          <t>OSKARSHAMN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46250</v>
      </c>
      <c r="F335" t="inlineStr">
        <is>
          <t>KALMAR LÄN</t>
        </is>
      </c>
      <c r="G335" t="inlineStr">
        <is>
          <t>OSKARSHAMN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46250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45034</v>
      </c>
      <c r="E337" s="1" t="n">
        <v>46250</v>
      </c>
      <c r="F337" t="inlineStr">
        <is>
          <t>KALMAR LÄN</t>
        </is>
      </c>
      <c r="G337" t="inlineStr">
        <is>
          <t>OSKARSHAMN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46250</v>
      </c>
      <c r="F338" t="inlineStr">
        <is>
          <t>KALMAR LÄN</t>
        </is>
      </c>
      <c r="G338" t="inlineStr">
        <is>
          <t>OSKARSHAMN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46250</v>
      </c>
      <c r="F339" t="inlineStr">
        <is>
          <t>KALMAR LÄN</t>
        </is>
      </c>
      <c r="G339" t="inlineStr">
        <is>
          <t>OSKARSHAMN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46250</v>
      </c>
      <c r="F340" t="inlineStr">
        <is>
          <t>KALMAR LÄN</t>
        </is>
      </c>
      <c r="G340" t="inlineStr">
        <is>
          <t>OSKARSHAMN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46250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46250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46250</v>
      </c>
      <c r="F343" t="inlineStr">
        <is>
          <t>KALMAR LÄN</t>
        </is>
      </c>
      <c r="G343" t="inlineStr">
        <is>
          <t>OSKARSHAMN</t>
        </is>
      </c>
      <c r="H343" t="inlineStr">
        <is>
          <t>Övriga Aktiebolag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46250</v>
      </c>
      <c r="F344" t="inlineStr">
        <is>
          <t>KALMAR LÄN</t>
        </is>
      </c>
      <c r="G344" t="inlineStr">
        <is>
          <t>OSKARSHAMN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46250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46250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45408</v>
      </c>
      <c r="E347" s="1" t="n">
        <v>46250</v>
      </c>
      <c r="F347" t="inlineStr">
        <is>
          <t>KALMAR LÄN</t>
        </is>
      </c>
      <c r="G347" t="inlineStr">
        <is>
          <t>OSKARSHAMN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46250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46250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45372</v>
      </c>
      <c r="E350" s="1" t="n">
        <v>46250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46250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44963</v>
      </c>
      <c r="E352" s="1" t="n">
        <v>46250</v>
      </c>
      <c r="F352" t="inlineStr">
        <is>
          <t>KALMAR LÄN</t>
        </is>
      </c>
      <c r="G352" t="inlineStr">
        <is>
          <t>OSKARSHAMN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46250</v>
      </c>
      <c r="F353" t="inlineStr">
        <is>
          <t>KALMAR LÄN</t>
        </is>
      </c>
      <c r="G353" t="inlineStr">
        <is>
          <t>OSKARSHAMN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46250</v>
      </c>
      <c r="F354" t="inlineStr">
        <is>
          <t>KALMAR LÄN</t>
        </is>
      </c>
      <c r="G354" t="inlineStr">
        <is>
          <t>OSKARSHAMN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45625</v>
      </c>
      <c r="E355" s="1" t="n">
        <v>46250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44564</v>
      </c>
      <c r="E356" s="1" t="n">
        <v>46250</v>
      </c>
      <c r="F356" t="inlineStr">
        <is>
          <t>KALMAR LÄN</t>
        </is>
      </c>
      <c r="G356" t="inlineStr">
        <is>
          <t>OSKARSHAMN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46250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45007</v>
      </c>
      <c r="E358" s="1" t="n">
        <v>46250</v>
      </c>
      <c r="F358" t="inlineStr">
        <is>
          <t>KALMAR LÄN</t>
        </is>
      </c>
      <c r="G358" t="inlineStr">
        <is>
          <t>OSKARSHAMN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57483-2021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46250</v>
      </c>
      <c r="F359" t="inlineStr">
        <is>
          <t>KALMAR LÄN</t>
        </is>
      </c>
      <c r="G359" t="inlineStr">
        <is>
          <t>OSKARSHAMN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46250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46250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46250</v>
      </c>
      <c r="F362" t="inlineStr">
        <is>
          <t>KALMAR LÄN</t>
        </is>
      </c>
      <c r="G362" t="inlineStr">
        <is>
          <t>OSKARSHAMN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44620</v>
      </c>
      <c r="E363" s="1" t="n">
        <v>46250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46250</v>
      </c>
      <c r="F364" t="inlineStr">
        <is>
          <t>KALMAR LÄN</t>
        </is>
      </c>
      <c r="G364" t="inlineStr">
        <is>
          <t>OSKARSHAMN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46250</v>
      </c>
      <c r="F365" t="inlineStr">
        <is>
          <t>KALMAR LÄN</t>
        </is>
      </c>
      <c r="G365" t="inlineStr">
        <is>
          <t>OSKARSHAMN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44978</v>
      </c>
      <c r="E366" s="1" t="n">
        <v>46250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46250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46250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49841-2023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46250</v>
      </c>
      <c r="F369" t="inlineStr">
        <is>
          <t>KALMAR LÄN</t>
        </is>
      </c>
      <c r="G369" t="inlineStr">
        <is>
          <t>OSKARSHAMN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46250</v>
      </c>
      <c r="F370" t="inlineStr">
        <is>
          <t>KALMAR LÄN</t>
        </is>
      </c>
      <c r="G370" t="inlineStr">
        <is>
          <t>OSKARSHAMN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46250</v>
      </c>
      <c r="F371" t="inlineStr">
        <is>
          <t>KALMAR LÄN</t>
        </is>
      </c>
      <c r="G371" t="inlineStr">
        <is>
          <t>OSKARSHAMN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55569-2024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45621</v>
      </c>
      <c r="E372" s="1" t="n">
        <v>46250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45240</v>
      </c>
      <c r="E373" s="1" t="n">
        <v>46250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46250</v>
      </c>
      <c r="F374" t="inlineStr">
        <is>
          <t>KALMAR LÄN</t>
        </is>
      </c>
      <c r="G374" t="inlineStr">
        <is>
          <t>OSKARSHAMN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11469-2024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46250</v>
      </c>
      <c r="F375" t="inlineStr">
        <is>
          <t>KALMAR LÄN</t>
        </is>
      </c>
      <c r="G375" t="inlineStr">
        <is>
          <t>OSKARSHAMN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45323</v>
      </c>
      <c r="E376" s="1" t="n">
        <v>46250</v>
      </c>
      <c r="F376" t="inlineStr">
        <is>
          <t>KALMAR LÄN</t>
        </is>
      </c>
      <c r="G376" t="inlineStr">
        <is>
          <t>OSKARSHAMN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46250</v>
      </c>
      <c r="F377" t="inlineStr">
        <is>
          <t>KALMAR LÄN</t>
        </is>
      </c>
      <c r="G377" t="inlineStr">
        <is>
          <t>OSKARSHAMN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44818</v>
      </c>
      <c r="E378" s="1" t="n">
        <v>46250</v>
      </c>
      <c r="F378" t="inlineStr">
        <is>
          <t>KALMAR LÄN</t>
        </is>
      </c>
      <c r="G378" t="inlineStr">
        <is>
          <t>OSKARSHAMN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46250</v>
      </c>
      <c r="F379" t="inlineStr">
        <is>
          <t>KALMAR LÄN</t>
        </is>
      </c>
      <c r="G379" t="inlineStr">
        <is>
          <t>OSKARSHAMN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46250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46250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46250</v>
      </c>
      <c r="F382" t="inlineStr">
        <is>
          <t>KALMAR LÄN</t>
        </is>
      </c>
      <c r="G382" t="inlineStr">
        <is>
          <t>OSKARSHAMN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45012</v>
      </c>
      <c r="E383" s="1" t="n">
        <v>46250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46250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45092</v>
      </c>
      <c r="E385" s="1" t="n">
        <v>46250</v>
      </c>
      <c r="F385" t="inlineStr">
        <is>
          <t>KALMAR LÄN</t>
        </is>
      </c>
      <c r="G385" t="inlineStr">
        <is>
          <t>OSKARSHAMN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46250</v>
      </c>
      <c r="F386" t="inlineStr">
        <is>
          <t>KALMAR LÄN</t>
        </is>
      </c>
      <c r="G386" t="inlineStr">
        <is>
          <t>OSKARSHAMN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46250</v>
      </c>
      <c r="F387" t="inlineStr">
        <is>
          <t>KALMAR LÄN</t>
        </is>
      </c>
      <c r="G387" t="inlineStr">
        <is>
          <t>OSKARSHAMN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46250</v>
      </c>
      <c r="F388" t="inlineStr">
        <is>
          <t>KALMAR LÄN</t>
        </is>
      </c>
      <c r="G388" t="inlineStr">
        <is>
          <t>OSKARSHAMN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44733</v>
      </c>
      <c r="E389" s="1" t="n">
        <v>46250</v>
      </c>
      <c r="F389" t="inlineStr">
        <is>
          <t>KALMAR LÄN</t>
        </is>
      </c>
      <c r="G389" t="inlineStr">
        <is>
          <t>OSKARSHAMN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46250</v>
      </c>
      <c r="F390" t="inlineStr">
        <is>
          <t>KALMAR LÄN</t>
        </is>
      </c>
      <c r="G390" t="inlineStr">
        <is>
          <t>OSKARSHAMN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46250</v>
      </c>
      <c r="F391" t="inlineStr">
        <is>
          <t>KALMAR LÄN</t>
        </is>
      </c>
      <c r="G391" t="inlineStr">
        <is>
          <t>OSKARSHAMN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46250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46250</v>
      </c>
      <c r="F393" t="inlineStr">
        <is>
          <t>KALMAR LÄN</t>
        </is>
      </c>
      <c r="G393" t="inlineStr">
        <is>
          <t>OSKARSHAMN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62995-2025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46009</v>
      </c>
      <c r="E394" s="1" t="n">
        <v>46250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46250</v>
      </c>
      <c r="F395" t="inlineStr">
        <is>
          <t>KALMAR LÄN</t>
        </is>
      </c>
      <c r="G395" t="inlineStr">
        <is>
          <t>OSKARSHAMN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45245</v>
      </c>
      <c r="E396" s="1" t="n">
        <v>46250</v>
      </c>
      <c r="F396" t="inlineStr">
        <is>
          <t>KALMAR LÄN</t>
        </is>
      </c>
      <c r="G396" t="inlineStr">
        <is>
          <t>OSKARSHAMN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55185-2025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45968</v>
      </c>
      <c r="E397" s="1" t="n">
        <v>46250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46250</v>
      </c>
      <c r="F398" t="inlineStr">
        <is>
          <t>KALMAR LÄN</t>
        </is>
      </c>
      <c r="G398" t="inlineStr">
        <is>
          <t>OSKARSHAMN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46250</v>
      </c>
      <c r="F399" t="inlineStr">
        <is>
          <t>KALMAR LÄN</t>
        </is>
      </c>
      <c r="G399" t="inlineStr">
        <is>
          <t>OSKARSHAMN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46250</v>
      </c>
      <c r="F400" t="inlineStr">
        <is>
          <t>KALMAR LÄN</t>
        </is>
      </c>
      <c r="G400" t="inlineStr">
        <is>
          <t>OSKARSHAMN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8499-2023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44977</v>
      </c>
      <c r="E401" s="1" t="n">
        <v>46250</v>
      </c>
      <c r="F401" t="inlineStr">
        <is>
          <t>KALMAR LÄN</t>
        </is>
      </c>
      <c r="G401" t="inlineStr">
        <is>
          <t>OSKARSHAMN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44987</v>
      </c>
      <c r="E402" s="1" t="n">
        <v>46250</v>
      </c>
      <c r="F402" t="inlineStr">
        <is>
          <t>KALMAR LÄN</t>
        </is>
      </c>
      <c r="G402" t="inlineStr">
        <is>
          <t>OSKARSHAMN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46250</v>
      </c>
      <c r="F403" t="inlineStr">
        <is>
          <t>KALMAR LÄN</t>
        </is>
      </c>
      <c r="G403" t="inlineStr">
        <is>
          <t>OSKARSHAMN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46250</v>
      </c>
      <c r="F404" t="inlineStr">
        <is>
          <t>KALMAR LÄN</t>
        </is>
      </c>
      <c r="G404" t="inlineStr">
        <is>
          <t>OSKARSHAMN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46250</v>
      </c>
      <c r="F405" t="inlineStr">
        <is>
          <t>KALMAR LÄN</t>
        </is>
      </c>
      <c r="G405" t="inlineStr">
        <is>
          <t>OSKARSHAMN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46250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46250</v>
      </c>
      <c r="F407" t="inlineStr">
        <is>
          <t>KALMAR LÄN</t>
        </is>
      </c>
      <c r="G407" t="inlineStr">
        <is>
          <t>OSKARSHAMN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46250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45348</v>
      </c>
      <c r="E409" s="1" t="n">
        <v>46250</v>
      </c>
      <c r="F409" t="inlineStr">
        <is>
          <t>KALMAR LÄN</t>
        </is>
      </c>
      <c r="G409" t="inlineStr">
        <is>
          <t>OSKARSHAMN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46250</v>
      </c>
      <c r="F410" t="inlineStr">
        <is>
          <t>KALMAR LÄN</t>
        </is>
      </c>
      <c r="G410" t="inlineStr">
        <is>
          <t>OSKARSHAMN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46250</v>
      </c>
      <c r="F411" t="inlineStr">
        <is>
          <t>KALMAR LÄN</t>
        </is>
      </c>
      <c r="G411" t="inlineStr">
        <is>
          <t>OSKARSHAMN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45051</v>
      </c>
      <c r="E412" s="1" t="n">
        <v>46250</v>
      </c>
      <c r="F412" t="inlineStr">
        <is>
          <t>KALMAR LÄN</t>
        </is>
      </c>
      <c r="G412" t="inlineStr">
        <is>
          <t>OSKARSHAMN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46250</v>
      </c>
      <c r="F413" t="inlineStr">
        <is>
          <t>KALMAR LÄN</t>
        </is>
      </c>
      <c r="G413" t="inlineStr">
        <is>
          <t>OSKARSHAMN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46250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44755</v>
      </c>
      <c r="E415" s="1" t="n">
        <v>46250</v>
      </c>
      <c r="F415" t="inlineStr">
        <is>
          <t>KALMAR LÄN</t>
        </is>
      </c>
      <c r="G415" t="inlineStr">
        <is>
          <t>OSKARSHAMN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46250</v>
      </c>
      <c r="F416" t="inlineStr">
        <is>
          <t>KALMAR LÄN</t>
        </is>
      </c>
      <c r="G416" t="inlineStr">
        <is>
          <t>OSKARSHAMN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45041</v>
      </c>
      <c r="E417" s="1" t="n">
        <v>46250</v>
      </c>
      <c r="F417" t="inlineStr">
        <is>
          <t>KALMAR LÄN</t>
        </is>
      </c>
      <c r="G417" t="inlineStr">
        <is>
          <t>OSKARSHAMN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46250</v>
      </c>
      <c r="F418" t="inlineStr">
        <is>
          <t>KALMAR LÄN</t>
        </is>
      </c>
      <c r="G418" t="inlineStr">
        <is>
          <t>OSKARSHAMN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45168</v>
      </c>
      <c r="E419" s="1" t="n">
        <v>46250</v>
      </c>
      <c r="F419" t="inlineStr">
        <is>
          <t>KALMAR LÄN</t>
        </is>
      </c>
      <c r="G419" t="inlineStr">
        <is>
          <t>OSKARSHAMN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20758-2026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46141</v>
      </c>
      <c r="E420" s="1" t="n">
        <v>46250</v>
      </c>
      <c r="F420" t="inlineStr">
        <is>
          <t>KALMAR LÄN</t>
        </is>
      </c>
      <c r="G420" t="inlineStr">
        <is>
          <t>OSKARSHAMN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46250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44749</v>
      </c>
      <c r="E422" s="1" t="n">
        <v>46250</v>
      </c>
      <c r="F422" t="inlineStr">
        <is>
          <t>KALMAR LÄN</t>
        </is>
      </c>
      <c r="G422" t="inlineStr">
        <is>
          <t>OSKARSHAMN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46250</v>
      </c>
      <c r="F423" t="inlineStr">
        <is>
          <t>KALMAR LÄN</t>
        </is>
      </c>
      <c r="G423" t="inlineStr">
        <is>
          <t>OSKARSHAMN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46250</v>
      </c>
      <c r="F424" t="inlineStr">
        <is>
          <t>KALMAR LÄN</t>
        </is>
      </c>
      <c r="G424" t="inlineStr">
        <is>
          <t>OSKARSHAMN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46250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46250</v>
      </c>
      <c r="F426" t="inlineStr">
        <is>
          <t>KALMAR LÄN</t>
        </is>
      </c>
      <c r="G426" t="inlineStr">
        <is>
          <t>OSKARSHAMN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46250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44664</v>
      </c>
      <c r="E428" s="1" t="n">
        <v>46250</v>
      </c>
      <c r="F428" t="inlineStr">
        <is>
          <t>KALMAR LÄN</t>
        </is>
      </c>
      <c r="G428" t="inlineStr">
        <is>
          <t>OSKARSHAMN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45369</v>
      </c>
      <c r="E429" s="1" t="n">
        <v>46250</v>
      </c>
      <c r="F429" t="inlineStr">
        <is>
          <t>KALMAR LÄN</t>
        </is>
      </c>
      <c r="G429" t="inlineStr">
        <is>
          <t>OSKARSHAMN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45580</v>
      </c>
      <c r="E430" s="1" t="n">
        <v>46250</v>
      </c>
      <c r="F430" t="inlineStr">
        <is>
          <t>KALMAR LÄN</t>
        </is>
      </c>
      <c r="G430" t="inlineStr">
        <is>
          <t>OSKARSHAMN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45314</v>
      </c>
      <c r="E431" s="1" t="n">
        <v>46250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46250</v>
      </c>
      <c r="F432" t="inlineStr">
        <is>
          <t>KALMAR LÄN</t>
        </is>
      </c>
      <c r="G432" t="inlineStr">
        <is>
          <t>OSKARSHAMN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48582-2021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44452</v>
      </c>
      <c r="E433" s="1" t="n">
        <v>46250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46250</v>
      </c>
      <c r="F434" t="inlineStr">
        <is>
          <t>KALMAR LÄN</t>
        </is>
      </c>
      <c r="G434" t="inlineStr">
        <is>
          <t>OSKARSHAMN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46250</v>
      </c>
      <c r="F435" t="inlineStr">
        <is>
          <t>KALMAR LÄN</t>
        </is>
      </c>
      <c r="G435" t="inlineStr">
        <is>
          <t>OSKARSHAMN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46250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43463-2022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44836</v>
      </c>
      <c r="E437" s="1" t="n">
        <v>46250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46250</v>
      </c>
      <c r="F438" t="inlineStr">
        <is>
          <t>KALMAR LÄN</t>
        </is>
      </c>
      <c r="G438" t="inlineStr">
        <is>
          <t>OSKARSHAMN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46250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46250</v>
      </c>
      <c r="F440" t="inlineStr">
        <is>
          <t>KALMAR LÄN</t>
        </is>
      </c>
      <c r="G440" t="inlineStr">
        <is>
          <t>OSKARSHAMN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44915</v>
      </c>
      <c r="E441" s="1" t="n">
        <v>46250</v>
      </c>
      <c r="F441" t="inlineStr">
        <is>
          <t>KALMAR LÄN</t>
        </is>
      </c>
      <c r="G441" t="inlineStr">
        <is>
          <t>OSKARSHAMN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46250</v>
      </c>
      <c r="F442" t="inlineStr">
        <is>
          <t>KALMAR LÄN</t>
        </is>
      </c>
      <c r="G442" t="inlineStr">
        <is>
          <t>OSKARSHAMN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45092</v>
      </c>
      <c r="E443" s="1" t="n">
        <v>46250</v>
      </c>
      <c r="F443" t="inlineStr">
        <is>
          <t>KALMAR LÄN</t>
        </is>
      </c>
      <c r="G443" t="inlineStr">
        <is>
          <t>OSKARSHAMN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46250</v>
      </c>
      <c r="F444" t="inlineStr">
        <is>
          <t>KALMAR LÄN</t>
        </is>
      </c>
      <c r="G444" t="inlineStr">
        <is>
          <t>OSKARSHAMN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46250</v>
      </c>
      <c r="F445" t="inlineStr">
        <is>
          <t>KALMAR LÄN</t>
        </is>
      </c>
      <c r="G445" t="inlineStr">
        <is>
          <t>OSKARSHAMN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46250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46250</v>
      </c>
      <c r="F447" t="inlineStr">
        <is>
          <t>KALMAR LÄN</t>
        </is>
      </c>
      <c r="G447" t="inlineStr">
        <is>
          <t>OSKARSHAMN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45208</v>
      </c>
      <c r="E448" s="1" t="n">
        <v>46250</v>
      </c>
      <c r="F448" t="inlineStr">
        <is>
          <t>KALMAR LÄN</t>
        </is>
      </c>
      <c r="G448" t="inlineStr">
        <is>
          <t>OSKARSHAMN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46250</v>
      </c>
      <c r="F449" t="inlineStr">
        <is>
          <t>KALMAR LÄN</t>
        </is>
      </c>
      <c r="G449" t="inlineStr">
        <is>
          <t>OSKARSHAMN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59075-2021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44489</v>
      </c>
      <c r="E450" s="1" t="n">
        <v>46250</v>
      </c>
      <c r="F450" t="inlineStr">
        <is>
          <t>KALMAR LÄN</t>
        </is>
      </c>
      <c r="G450" t="inlineStr">
        <is>
          <t>OSKARSHAMN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46250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64476-2023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45280</v>
      </c>
      <c r="E452" s="1" t="n">
        <v>46250</v>
      </c>
      <c r="F452" t="inlineStr">
        <is>
          <t>KALMAR LÄN</t>
        </is>
      </c>
      <c r="G452" t="inlineStr">
        <is>
          <t>OSKARSHAMN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46250</v>
      </c>
      <c r="F453" t="inlineStr">
        <is>
          <t>KALMAR LÄN</t>
        </is>
      </c>
      <c r="G453" t="inlineStr">
        <is>
          <t>OSKARSHAMN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46250</v>
      </c>
      <c r="F454" t="inlineStr">
        <is>
          <t>KALMAR LÄN</t>
        </is>
      </c>
      <c r="G454" t="inlineStr">
        <is>
          <t>OSKARSHAMN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46250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46250</v>
      </c>
      <c r="F456" t="inlineStr">
        <is>
          <t>KALMAR LÄN</t>
        </is>
      </c>
      <c r="G456" t="inlineStr">
        <is>
          <t>OSKARSHAMN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46250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45691</v>
      </c>
      <c r="E458" s="1" t="n">
        <v>46250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46250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46250</v>
      </c>
      <c r="F460" t="inlineStr">
        <is>
          <t>KALMAR LÄN</t>
        </is>
      </c>
      <c r="G460" t="inlineStr">
        <is>
          <t>OSKARSHAMN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46250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50256-2023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46250</v>
      </c>
      <c r="F462" t="inlineStr">
        <is>
          <t>KALMAR LÄN</t>
        </is>
      </c>
      <c r="G462" t="inlineStr">
        <is>
          <t>OSKARSHAMN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45036</v>
      </c>
      <c r="E463" s="1" t="n">
        <v>46250</v>
      </c>
      <c r="F463" t="inlineStr">
        <is>
          <t>KALMAR LÄN</t>
        </is>
      </c>
      <c r="G463" t="inlineStr">
        <is>
          <t>OSKARSHAMN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46250</v>
      </c>
      <c r="F464" t="inlineStr">
        <is>
          <t>KALMAR LÄN</t>
        </is>
      </c>
      <c r="G464" t="inlineStr">
        <is>
          <t>OSKARSHAMN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46250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46250</v>
      </c>
      <c r="F466" t="inlineStr">
        <is>
          <t>KALMAR LÄN</t>
        </is>
      </c>
      <c r="G466" t="inlineStr">
        <is>
          <t>OSKARSHAMN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14129-2025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45740</v>
      </c>
      <c r="E467" s="1" t="n">
        <v>46250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45519</v>
      </c>
      <c r="E468" s="1" t="n">
        <v>46250</v>
      </c>
      <c r="F468" t="inlineStr">
        <is>
          <t>KALMAR LÄN</t>
        </is>
      </c>
      <c r="G468" t="inlineStr">
        <is>
          <t>OSKARSHAMN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46250</v>
      </c>
      <c r="F469" t="inlineStr">
        <is>
          <t>KALMAR LÄN</t>
        </is>
      </c>
      <c r="G469" t="inlineStr">
        <is>
          <t>OSKARSHAMN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46250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46250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46250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46250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45233</v>
      </c>
      <c r="E474" s="1" t="n">
        <v>46250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72786-2021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46250</v>
      </c>
      <c r="F475" t="inlineStr">
        <is>
          <t>KALMAR LÄN</t>
        </is>
      </c>
      <c r="G475" t="inlineStr">
        <is>
          <t>OSKARSHAMN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46250</v>
      </c>
      <c r="F476" t="inlineStr">
        <is>
          <t>KALMAR LÄN</t>
        </is>
      </c>
      <c r="G476" t="inlineStr">
        <is>
          <t>OSKARSHAMN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46250</v>
      </c>
      <c r="F477" t="inlineStr">
        <is>
          <t>KALMAR LÄN</t>
        </is>
      </c>
      <c r="G477" t="inlineStr">
        <is>
          <t>OSKARSHAMN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45373</v>
      </c>
      <c r="E478" s="1" t="n">
        <v>46250</v>
      </c>
      <c r="F478" t="inlineStr">
        <is>
          <t>KALMAR LÄN</t>
        </is>
      </c>
      <c r="G478" t="inlineStr">
        <is>
          <t>OSKARSHAMN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44965</v>
      </c>
      <c r="E479" s="1" t="n">
        <v>46250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46250</v>
      </c>
      <c r="F480" t="inlineStr">
        <is>
          <t>KALMAR LÄN</t>
        </is>
      </c>
      <c r="G480" t="inlineStr">
        <is>
          <t>OSKARSHAMN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45728</v>
      </c>
      <c r="E481" s="1" t="n">
        <v>46250</v>
      </c>
      <c r="F481" t="inlineStr">
        <is>
          <t>KALMAR LÄN</t>
        </is>
      </c>
      <c r="G481" t="inlineStr">
        <is>
          <t>OSKARSHAMN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45224</v>
      </c>
      <c r="E482" s="1" t="n">
        <v>46250</v>
      </c>
      <c r="F482" t="inlineStr">
        <is>
          <t>KALMAR LÄN</t>
        </is>
      </c>
      <c r="G482" t="inlineStr">
        <is>
          <t>OSKARSHAMN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46250</v>
      </c>
      <c r="F483" t="inlineStr">
        <is>
          <t>KALMAR LÄN</t>
        </is>
      </c>
      <c r="G483" t="inlineStr">
        <is>
          <t>OSKARSHAMN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46211</v>
      </c>
      <c r="E484" s="1" t="n">
        <v>46250</v>
      </c>
      <c r="F484" t="inlineStr">
        <is>
          <t>KALMAR LÄN</t>
        </is>
      </c>
      <c r="G484" t="inlineStr">
        <is>
          <t>OSKARSHAMN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45643</v>
      </c>
      <c r="E485" s="1" t="n">
        <v>46250</v>
      </c>
      <c r="F485" t="inlineStr">
        <is>
          <t>KALMAR LÄN</t>
        </is>
      </c>
      <c r="G485" t="inlineStr">
        <is>
          <t>OSKARSHAMN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46250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45754</v>
      </c>
      <c r="E487" s="1" t="n">
        <v>46250</v>
      </c>
      <c r="F487" t="inlineStr">
        <is>
          <t>KALMAR LÄN</t>
        </is>
      </c>
      <c r="G487" t="inlineStr">
        <is>
          <t>OSKARSHAMN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46250</v>
      </c>
      <c r="F488" t="inlineStr">
        <is>
          <t>KALMAR LÄN</t>
        </is>
      </c>
      <c r="G488" t="inlineStr">
        <is>
          <t>OSKARSHAMN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45411</v>
      </c>
      <c r="E489" s="1" t="n">
        <v>46250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46250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44621</v>
      </c>
      <c r="E491" s="1" t="n">
        <v>46250</v>
      </c>
      <c r="F491" t="inlineStr">
        <is>
          <t>KALMAR LÄN</t>
        </is>
      </c>
      <c r="G491" t="inlineStr">
        <is>
          <t>OSKARSHAMN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46250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46250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45022</v>
      </c>
      <c r="E494" s="1" t="n">
        <v>46250</v>
      </c>
      <c r="F494" t="inlineStr">
        <is>
          <t>KALMAR LÄN</t>
        </is>
      </c>
      <c r="G494" t="inlineStr">
        <is>
          <t>OSKARSHAMN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46250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46250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46250</v>
      </c>
      <c r="F497" t="inlineStr">
        <is>
          <t>KALMAR LÄN</t>
        </is>
      </c>
      <c r="G497" t="inlineStr">
        <is>
          <t>OSKARSHAMN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46250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46250</v>
      </c>
      <c r="F499" t="inlineStr">
        <is>
          <t>KALMAR LÄN</t>
        </is>
      </c>
      <c r="G499" t="inlineStr">
        <is>
          <t>OSKARSHAMN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59710-2021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46250</v>
      </c>
      <c r="F500" t="inlineStr">
        <is>
          <t>KALMAR LÄN</t>
        </is>
      </c>
      <c r="G500" t="inlineStr">
        <is>
          <t>OSKARSHAMN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46250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44573</v>
      </c>
      <c r="E502" s="1" t="n">
        <v>46250</v>
      </c>
      <c r="F502" t="inlineStr">
        <is>
          <t>KALMAR LÄN</t>
        </is>
      </c>
      <c r="G502" t="inlineStr">
        <is>
          <t>OSKARSHAMN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46250</v>
      </c>
      <c r="F503" t="inlineStr">
        <is>
          <t>KALMAR LÄN</t>
        </is>
      </c>
      <c r="G503" t="inlineStr">
        <is>
          <t>OSKARSHAMN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51993-2023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45223</v>
      </c>
      <c r="E504" s="1" t="n">
        <v>46250</v>
      </c>
      <c r="F504" t="inlineStr">
        <is>
          <t>KALMAR LÄN</t>
        </is>
      </c>
      <c r="G504" t="inlineStr">
        <is>
          <t>OSKARSHAMN</t>
        </is>
      </c>
      <c r="I504" t="n">
        <v>15.3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46250</v>
      </c>
      <c r="F505" t="inlineStr">
        <is>
          <t>KALMAR LÄN</t>
        </is>
      </c>
      <c r="G505" t="inlineStr">
        <is>
          <t>OSKARSHAMN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45075</v>
      </c>
      <c r="E506" s="1" t="n">
        <v>46250</v>
      </c>
      <c r="F506" t="inlineStr">
        <is>
          <t>KALMAR LÄN</t>
        </is>
      </c>
      <c r="G506" t="inlineStr">
        <is>
          <t>OSKARSHAMN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46250</v>
      </c>
      <c r="F507" t="inlineStr">
        <is>
          <t>KALMAR LÄN</t>
        </is>
      </c>
      <c r="G507" t="inlineStr">
        <is>
          <t>OSKARSHAMN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46250</v>
      </c>
      <c r="F508" t="inlineStr">
        <is>
          <t>KALMAR LÄN</t>
        </is>
      </c>
      <c r="G508" t="inlineStr">
        <is>
          <t>OSKARSHAMN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45408</v>
      </c>
      <c r="E509" s="1" t="n">
        <v>46250</v>
      </c>
      <c r="F509" t="inlineStr">
        <is>
          <t>KALMAR LÄN</t>
        </is>
      </c>
      <c r="G509" t="inlineStr">
        <is>
          <t>OSKARSHAMN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73404-2021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44551</v>
      </c>
      <c r="E510" s="1" t="n">
        <v>46250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46250</v>
      </c>
      <c r="F511" t="inlineStr">
        <is>
          <t>KALMAR LÄN</t>
        </is>
      </c>
      <c r="G511" t="inlineStr">
        <is>
          <t>OSKARSHAMN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46250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46250</v>
      </c>
      <c r="F513" t="inlineStr">
        <is>
          <t>KALMAR LÄN</t>
        </is>
      </c>
      <c r="G513" t="inlineStr">
        <is>
          <t>OSKARSHAMN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46250</v>
      </c>
      <c r="F514" t="inlineStr">
        <is>
          <t>KALMAR LÄN</t>
        </is>
      </c>
      <c r="G514" t="inlineStr">
        <is>
          <t>OSKARSHAMN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46613-2023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45198</v>
      </c>
      <c r="E515" s="1" t="n">
        <v>46250</v>
      </c>
      <c r="F515" t="inlineStr">
        <is>
          <t>KALMAR LÄN</t>
        </is>
      </c>
      <c r="G515" t="inlineStr">
        <is>
          <t>OSKARSHAMN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46250</v>
      </c>
      <c r="F516" t="inlineStr">
        <is>
          <t>KALMAR LÄN</t>
        </is>
      </c>
      <c r="G516" t="inlineStr">
        <is>
          <t>OSKARSHAMN</t>
        </is>
      </c>
      <c r="I516" t="n">
        <v>11.6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46250</v>
      </c>
      <c r="F517" t="inlineStr">
        <is>
          <t>KALMAR LÄN</t>
        </is>
      </c>
      <c r="G517" t="inlineStr">
        <is>
          <t>OSKARSHAMN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45811</v>
      </c>
      <c r="E518" s="1" t="n">
        <v>46250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43165-2024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46250</v>
      </c>
      <c r="F519" t="inlineStr">
        <is>
          <t>KALMAR LÄN</t>
        </is>
      </c>
      <c r="G519" t="inlineStr">
        <is>
          <t>OSKARSHAMN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46250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46250</v>
      </c>
      <c r="F521" t="inlineStr">
        <is>
          <t>KALMAR LÄN</t>
        </is>
      </c>
      <c r="G521" t="inlineStr">
        <is>
          <t>OSKARSHAMN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26132-2023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45091</v>
      </c>
      <c r="E522" s="1" t="n">
        <v>46250</v>
      </c>
      <c r="F522" t="inlineStr">
        <is>
          <t>KALMAR LÄN</t>
        </is>
      </c>
      <c r="G522" t="inlineStr">
        <is>
          <t>OSKARSHAMN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72819-2021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44547</v>
      </c>
      <c r="E523" s="1" t="n">
        <v>46250</v>
      </c>
      <c r="F523" t="inlineStr">
        <is>
          <t>KALMAR LÄN</t>
        </is>
      </c>
      <c r="G523" t="inlineStr">
        <is>
          <t>OSKARSHAMN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46230</v>
      </c>
      <c r="E524" s="1" t="n">
        <v>46250</v>
      </c>
      <c r="F524" t="inlineStr">
        <is>
          <t>KALMAR LÄN</t>
        </is>
      </c>
      <c r="G524" t="inlineStr">
        <is>
          <t>OSKARSHAMN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45208</v>
      </c>
      <c r="E525" s="1" t="n">
        <v>46250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46250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46250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44608</v>
      </c>
      <c r="E528" s="1" t="n">
        <v>46250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46250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46250</v>
      </c>
      <c r="F530" t="inlineStr">
        <is>
          <t>KALMAR LÄN</t>
        </is>
      </c>
      <c r="G530" t="inlineStr">
        <is>
          <t>OSKARSHAMN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46250</v>
      </c>
      <c r="F531" t="inlineStr">
        <is>
          <t>KALMAR LÄN</t>
        </is>
      </c>
      <c r="G531" t="inlineStr">
        <is>
          <t>OSKARSHAMN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48500-2023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45207</v>
      </c>
      <c r="E532" s="1" t="n">
        <v>46250</v>
      </c>
      <c r="F532" t="inlineStr">
        <is>
          <t>KALMAR LÄN</t>
        </is>
      </c>
      <c r="G532" t="inlineStr">
        <is>
          <t>OSKARSHAMN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30956-2025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45832</v>
      </c>
      <c r="E533" s="1" t="n">
        <v>46250</v>
      </c>
      <c r="F533" t="inlineStr">
        <is>
          <t>KALMAR LÄN</t>
        </is>
      </c>
      <c r="G533" t="inlineStr">
        <is>
          <t>OSKARSHAMN</t>
        </is>
      </c>
      <c r="I533" t="n">
        <v>11.7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45805</v>
      </c>
      <c r="E534" s="1" t="n">
        <v>46250</v>
      </c>
      <c r="F534" t="inlineStr">
        <is>
          <t>KALMAR LÄN</t>
        </is>
      </c>
      <c r="G534" t="inlineStr">
        <is>
          <t>OSKARSHAMN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45832</v>
      </c>
      <c r="E535" s="1" t="n">
        <v>46250</v>
      </c>
      <c r="F535" t="inlineStr">
        <is>
          <t>KALMAR LÄN</t>
        </is>
      </c>
      <c r="G535" t="inlineStr">
        <is>
          <t>OSKARSHAMN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46250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46250</v>
      </c>
      <c r="F537" t="inlineStr">
        <is>
          <t>KALMAR LÄN</t>
        </is>
      </c>
      <c r="G537" t="inlineStr">
        <is>
          <t>OSKARSHAMN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45792</v>
      </c>
      <c r="E538" s="1" t="n">
        <v>46250</v>
      </c>
      <c r="F538" t="inlineStr">
        <is>
          <t>KALMAR LÄN</t>
        </is>
      </c>
      <c r="G538" t="inlineStr">
        <is>
          <t>OSKARSHAMN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45792</v>
      </c>
      <c r="E539" s="1" t="n">
        <v>46250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46250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46250</v>
      </c>
      <c r="F541" t="inlineStr">
        <is>
          <t>KALMAR LÄN</t>
        </is>
      </c>
      <c r="G541" t="inlineStr">
        <is>
          <t>OSKARSHAMN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45687</v>
      </c>
      <c r="E542" s="1" t="n">
        <v>46250</v>
      </c>
      <c r="F542" t="inlineStr">
        <is>
          <t>KALMAR LÄN</t>
        </is>
      </c>
      <c r="G542" t="inlineStr">
        <is>
          <t>OSKARSHAMN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46250</v>
      </c>
      <c r="F543" t="inlineStr">
        <is>
          <t>KALMAR LÄN</t>
        </is>
      </c>
      <c r="G543" t="inlineStr">
        <is>
          <t>OSKARSHAMN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44711</v>
      </c>
      <c r="E544" s="1" t="n">
        <v>46250</v>
      </c>
      <c r="F544" t="inlineStr">
        <is>
          <t>KALMAR LÄN</t>
        </is>
      </c>
      <c r="G544" t="inlineStr">
        <is>
          <t>OSKARSHAMN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46250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46250</v>
      </c>
      <c r="F546" t="inlineStr">
        <is>
          <t>KALMAR LÄN</t>
        </is>
      </c>
      <c r="G546" t="inlineStr">
        <is>
          <t>OSKARSHAMN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46250</v>
      </c>
      <c r="F547" t="inlineStr">
        <is>
          <t>KALMAR LÄN</t>
        </is>
      </c>
      <c r="G547" t="inlineStr">
        <is>
          <t>OSKARSHAMN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46250</v>
      </c>
      <c r="F548" t="inlineStr">
        <is>
          <t>KALMAR LÄN</t>
        </is>
      </c>
      <c r="G548" t="inlineStr">
        <is>
          <t>OSKARSHAMN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39670-2022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44818</v>
      </c>
      <c r="E549" s="1" t="n">
        <v>46250</v>
      </c>
      <c r="F549" t="inlineStr">
        <is>
          <t>KALMAR LÄN</t>
        </is>
      </c>
      <c r="G549" t="inlineStr">
        <is>
          <t>OSKARSHAMN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46250</v>
      </c>
      <c r="F550" t="inlineStr">
        <is>
          <t>KALMAR LÄN</t>
        </is>
      </c>
      <c r="G550" t="inlineStr">
        <is>
          <t>OSKARSHAMN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46250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46250</v>
      </c>
      <c r="F552" t="inlineStr">
        <is>
          <t>KALMAR LÄN</t>
        </is>
      </c>
      <c r="G552" t="inlineStr">
        <is>
          <t>OSKARSHAMN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29619-2026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46199</v>
      </c>
      <c r="E553" s="1" t="n">
        <v>46250</v>
      </c>
      <c r="F553" t="inlineStr">
        <is>
          <t>KALMAR LÄN</t>
        </is>
      </c>
      <c r="G553" t="inlineStr">
        <is>
          <t>OSKARSHAMN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46243</v>
      </c>
      <c r="E554" s="1" t="n">
        <v>46250</v>
      </c>
      <c r="F554" t="inlineStr">
        <is>
          <t>KALMAR LÄN</t>
        </is>
      </c>
      <c r="G554" t="inlineStr">
        <is>
          <t>OSKARSHAMN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46243</v>
      </c>
      <c r="E555" s="1" t="n">
        <v>46250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46250</v>
      </c>
      <c r="F556" t="inlineStr">
        <is>
          <t>KALMAR LÄN</t>
        </is>
      </c>
      <c r="G556" t="inlineStr">
        <is>
          <t>OSKARSHAMN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46250</v>
      </c>
      <c r="F557" t="inlineStr">
        <is>
          <t>KALMAR LÄN</t>
        </is>
      </c>
      <c r="G557" t="inlineStr">
        <is>
          <t>OSKARSHAMN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46250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46250</v>
      </c>
      <c r="F559" t="inlineStr">
        <is>
          <t>KALMAR LÄN</t>
        </is>
      </c>
      <c r="G559" t="inlineStr">
        <is>
          <t>OSKARSHAMN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46250</v>
      </c>
      <c r="F560" t="inlineStr">
        <is>
          <t>KALMAR LÄN</t>
        </is>
      </c>
      <c r="G560" t="inlineStr">
        <is>
          <t>OSKARSHAMN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46250</v>
      </c>
      <c r="F561" t="inlineStr">
        <is>
          <t>KALMAR LÄN</t>
        </is>
      </c>
      <c r="G561" t="inlineStr">
        <is>
          <t>OSKARSHAMN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46250</v>
      </c>
      <c r="F562" t="inlineStr">
        <is>
          <t>KALMAR LÄN</t>
        </is>
      </c>
      <c r="G562" t="inlineStr">
        <is>
          <t>OSKARSHAMN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46250</v>
      </c>
      <c r="F563" t="inlineStr">
        <is>
          <t>KALMAR LÄN</t>
        </is>
      </c>
      <c r="G563" t="inlineStr">
        <is>
          <t>OSKARSHAMN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46250</v>
      </c>
      <c r="F564" t="inlineStr">
        <is>
          <t>KALMAR LÄN</t>
        </is>
      </c>
      <c r="G564" t="inlineStr">
        <is>
          <t>OSKARSHAMN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46250</v>
      </c>
      <c r="F565" t="inlineStr">
        <is>
          <t>KALMAR LÄN</t>
        </is>
      </c>
      <c r="G565" t="inlineStr">
        <is>
          <t>OSKARSHAMN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46250</v>
      </c>
      <c r="F566" t="inlineStr">
        <is>
          <t>KALMAR LÄN</t>
        </is>
      </c>
      <c r="G566" t="inlineStr">
        <is>
          <t>OSKARSHAMN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46250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46250</v>
      </c>
      <c r="F568" t="inlineStr">
        <is>
          <t>KALMAR LÄN</t>
        </is>
      </c>
      <c r="G568" t="inlineStr">
        <is>
          <t>OSKARSHAMN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46250</v>
      </c>
      <c r="F569" t="inlineStr">
        <is>
          <t>KALMAR LÄN</t>
        </is>
      </c>
      <c r="G569" t="inlineStr">
        <is>
          <t>OSKARSHAMN</t>
        </is>
      </c>
      <c r="I569" t="n">
        <v>15.3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28100-2026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46195</v>
      </c>
      <c r="E570" s="1" t="n">
        <v>46250</v>
      </c>
      <c r="F570" t="inlineStr">
        <is>
          <t>KALMAR LÄN</t>
        </is>
      </c>
      <c r="G570" t="inlineStr">
        <is>
          <t>OSKARSHAMN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2334-2022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44685</v>
      </c>
      <c r="E571" s="1" t="n">
        <v>46250</v>
      </c>
      <c r="F571" t="inlineStr">
        <is>
          <t>KALMAR LÄN</t>
        </is>
      </c>
      <c r="G571" t="inlineStr">
        <is>
          <t>OSKARSHAMN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46250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2026-2022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44665</v>
      </c>
      <c r="E573" s="1" t="n">
        <v>46250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1437-2022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44634</v>
      </c>
      <c r="E574" s="1" t="n">
        <v>46250</v>
      </c>
      <c r="F574" t="inlineStr">
        <is>
          <t>KALMAR LÄN</t>
        </is>
      </c>
      <c r="G574" t="inlineStr">
        <is>
          <t>OSKARSHAMN</t>
        </is>
      </c>
      <c r="I574" t="n">
        <v>24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46250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46250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46250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46250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6585-2021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44455</v>
      </c>
      <c r="E579" s="1" t="n">
        <v>46250</v>
      </c>
      <c r="F579" t="inlineStr">
        <is>
          <t>KALMAR LÄN</t>
        </is>
      </c>
      <c r="G579" t="inlineStr">
        <is>
          <t>OSKARSHAMN</t>
        </is>
      </c>
      <c r="H579" t="inlineStr">
        <is>
          <t>Sveaskog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4600-2023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45287</v>
      </c>
      <c r="E580" s="1" t="n">
        <v>46250</v>
      </c>
      <c r="F580" t="inlineStr">
        <is>
          <t>KALMAR LÄN</t>
        </is>
      </c>
      <c r="G580" t="inlineStr">
        <is>
          <t>OSKARSHAMN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2623-2024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45477</v>
      </c>
      <c r="E581" s="1" t="n">
        <v>46250</v>
      </c>
      <c r="F581" t="inlineStr">
        <is>
          <t>KALMAR LÄN</t>
        </is>
      </c>
      <c r="G581" t="inlineStr">
        <is>
          <t>OSKARSHAMN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46250</v>
      </c>
      <c r="F582" t="inlineStr">
        <is>
          <t>KALMAR LÄN</t>
        </is>
      </c>
      <c r="G582" t="inlineStr">
        <is>
          <t>OSKARSHAMN</t>
        </is>
      </c>
      <c r="I582" t="n">
        <v>12.5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3313-2023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45195</v>
      </c>
      <c r="E583" s="1" t="n">
        <v>46250</v>
      </c>
      <c r="F583" t="inlineStr">
        <is>
          <t>KALMAR LÄN</t>
        </is>
      </c>
      <c r="G583" t="inlineStr">
        <is>
          <t>OSKARSHAMN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821-2023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44988</v>
      </c>
      <c r="E584" s="1" t="n">
        <v>46250</v>
      </c>
      <c r="F584" t="inlineStr">
        <is>
          <t>KALMAR LÄN</t>
        </is>
      </c>
      <c r="G584" t="inlineStr">
        <is>
          <t>OSKARSHAMN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45476</v>
      </c>
      <c r="E585" s="1" t="n">
        <v>46250</v>
      </c>
      <c r="F585" t="inlineStr">
        <is>
          <t>KALMAR LÄN</t>
        </is>
      </c>
      <c r="G585" t="inlineStr">
        <is>
          <t>OSKARSHAMN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677-2024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45357</v>
      </c>
      <c r="E586" s="1" t="n">
        <v>46250</v>
      </c>
      <c r="F586" t="inlineStr">
        <is>
          <t>KALMAR LÄN</t>
        </is>
      </c>
      <c r="G586" t="inlineStr">
        <is>
          <t>OSKARSHAMN</t>
        </is>
      </c>
      <c r="I586" t="n">
        <v>37.5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45357</v>
      </c>
      <c r="E587" s="1" t="n">
        <v>46250</v>
      </c>
      <c r="F587" t="inlineStr">
        <is>
          <t>KALMAR LÄN</t>
        </is>
      </c>
      <c r="G587" t="inlineStr">
        <is>
          <t>OSKARSHAMN</t>
        </is>
      </c>
      <c r="I587" t="n">
        <v>47.2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2471-2024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45470</v>
      </c>
      <c r="E588" s="1" t="n">
        <v>46250</v>
      </c>
      <c r="F588" t="inlineStr">
        <is>
          <t>KALMAR LÄN</t>
        </is>
      </c>
      <c r="G588" t="inlineStr">
        <is>
          <t>OSKARSHAMN</t>
        </is>
      </c>
      <c r="I588" t="n">
        <v>34.4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712-2023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44979</v>
      </c>
      <c r="E589" s="1" t="n">
        <v>46250</v>
      </c>
      <c r="F589" t="inlineStr">
        <is>
          <t>KALMAR LÄN</t>
        </is>
      </c>
      <c r="G589" t="inlineStr">
        <is>
          <t>OSKARSHAMN</t>
        </is>
      </c>
      <c r="I589" t="n">
        <v>24.6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2367-2025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45889</v>
      </c>
      <c r="E590" s="1" t="n">
        <v>46250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2970-2025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45954</v>
      </c>
      <c r="E591" s="1" t="n">
        <v>46250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3540-2025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46009</v>
      </c>
      <c r="E592" s="1" t="n">
        <v>46250</v>
      </c>
      <c r="F592" t="inlineStr">
        <is>
          <t>KALMAR LÄN</t>
        </is>
      </c>
      <c r="G592" t="inlineStr">
        <is>
          <t>OSKARSHAMN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45468</v>
      </c>
      <c r="E593" s="1" t="n">
        <v>46250</v>
      </c>
      <c r="F593" t="inlineStr">
        <is>
          <t>KALMAR LÄN</t>
        </is>
      </c>
      <c r="G593" t="inlineStr">
        <is>
          <t>OSKARSHAMN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1820-2026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46197</v>
      </c>
      <c r="E594" s="1" t="n">
        <v>46250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2026-08-16T01:42:17Z</dcterms:created>
  <dcterms:modified xmlns:dcterms="http://purl.org/dc/terms/" xmlns:xsi="http://www.w3.org/2001/XMLSchema-instance" xsi:type="dcterms:W3CDTF">2026-08-16T01:42:17Z</dcterms:modified>
</cp:coreProperties>
</file>