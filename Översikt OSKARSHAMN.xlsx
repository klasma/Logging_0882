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45733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45733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45733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45733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45733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45733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45733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45733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45733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45733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45733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45733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45733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45733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45733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45733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45733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45733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45733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45733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45733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45733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45733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45733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45733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45733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45733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45733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45733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45733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45733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45733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45733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45733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45733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45733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45733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45733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45733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45733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45733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45733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45733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45733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45733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45733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45733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45733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45733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45733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45733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45733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45733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19705-2024</t>
        </is>
      </c>
      <c r="B87" s="1" t="n">
        <v>45432</v>
      </c>
      <c r="C87" s="1" t="n">
        <v>45733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HYPERLINK("https://klasma.github.io/Logging_0882/artfynd/A 19705-2024 artfynd.xlsx", "A 19705-2024")</f>
        <v/>
      </c>
      <c r="T87">
        <f>HYPERLINK("https://klasma.github.io/Logging_0882/kartor/A 19705-2024 karta.png", "A 19705-2024")</f>
        <v/>
      </c>
      <c r="V87">
        <f>HYPERLINK("https://klasma.github.io/Logging_0882/klagomål/A 19705-2024 FSC-klagomål.docx", "A 19705-2024")</f>
        <v/>
      </c>
      <c r="W87">
        <f>HYPERLINK("https://klasma.github.io/Logging_0882/klagomålsmail/A 19705-2024 FSC-klagomål mail.docx", "A 19705-2024")</f>
        <v/>
      </c>
      <c r="X87">
        <f>HYPERLINK("https://klasma.github.io/Logging_0882/tillsyn/A 19705-2024 tillsynsbegäran.docx", "A 19705-2024")</f>
        <v/>
      </c>
      <c r="Y87">
        <f>HYPERLINK("https://klasma.github.io/Logging_0882/tillsynsmail/A 19705-2024 tillsynsbegäran mail.docx", "A 19705-2024")</f>
        <v/>
      </c>
    </row>
    <row r="88" ht="15" customHeight="1">
      <c r="A88" t="inlineStr">
        <is>
          <t>A 34836-2024</t>
        </is>
      </c>
      <c r="B88" s="1" t="n">
        <v>45526</v>
      </c>
      <c r="C88" s="1" t="n">
        <v>45733</v>
      </c>
      <c r="D88" t="inlineStr">
        <is>
          <t>KALMAR LÄN</t>
        </is>
      </c>
      <c r="E88" t="inlineStr">
        <is>
          <t>OSKARSHAMN</t>
        </is>
      </c>
      <c r="G88" t="n">
        <v>8.6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34836-2024 artfynd.xlsx", "A 34836-2024")</f>
        <v/>
      </c>
      <c r="T88">
        <f>HYPERLINK("https://klasma.github.io/Logging_0882/kartor/A 34836-2024 karta.png", "A 34836-2024")</f>
        <v/>
      </c>
      <c r="V88">
        <f>HYPERLINK("https://klasma.github.io/Logging_0882/klagomål/A 34836-2024 FSC-klagomål.docx", "A 34836-2024")</f>
        <v/>
      </c>
      <c r="W88">
        <f>HYPERLINK("https://klasma.github.io/Logging_0882/klagomålsmail/A 34836-2024 FSC-klagomål mail.docx", "A 34836-2024")</f>
        <v/>
      </c>
      <c r="X88">
        <f>HYPERLINK("https://klasma.github.io/Logging_0882/tillsyn/A 34836-2024 tillsynsbegäran.docx", "A 34836-2024")</f>
        <v/>
      </c>
      <c r="Y88">
        <f>HYPERLINK("https://klasma.github.io/Logging_0882/tillsynsmail/A 34836-2024 tillsynsbegäran mail.docx", "A 34836-2024")</f>
        <v/>
      </c>
    </row>
    <row r="89" ht="15" customHeight="1">
      <c r="A89" t="inlineStr">
        <is>
          <t>A 35155-2024</t>
        </is>
      </c>
      <c r="B89" s="1" t="n">
        <v>45530</v>
      </c>
      <c r="C89" s="1" t="n">
        <v>45733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HYPERLINK("https://klasma.github.io/Logging_0882/artfynd/A 35155-2024 artfynd.xlsx", "A 35155-2024")</f>
        <v/>
      </c>
      <c r="T89">
        <f>HYPERLINK("https://klasma.github.io/Logging_0882/kartor/A 35155-2024 karta.png", "A 35155-2024")</f>
        <v/>
      </c>
      <c r="V89">
        <f>HYPERLINK("https://klasma.github.io/Logging_0882/klagomål/A 35155-2024 FSC-klagomål.docx", "A 35155-2024")</f>
        <v/>
      </c>
      <c r="W89">
        <f>HYPERLINK("https://klasma.github.io/Logging_0882/klagomålsmail/A 35155-2024 FSC-klagomål mail.docx", "A 35155-2024")</f>
        <v/>
      </c>
      <c r="X89">
        <f>HYPERLINK("https://klasma.github.io/Logging_0882/tillsyn/A 35155-2024 tillsynsbegäran.docx", "A 35155-2024")</f>
        <v/>
      </c>
      <c r="Y89">
        <f>HYPERLINK("https://klasma.github.io/Logging_0882/tillsynsmail/A 35155-2024 tillsynsbegäran mail.docx", "A 35155-2024")</f>
        <v/>
      </c>
    </row>
    <row r="90" ht="15" customHeight="1">
      <c r="A90" t="inlineStr">
        <is>
          <t>A 46276-2024</t>
        </is>
      </c>
      <c r="B90" s="1" t="n">
        <v>45581</v>
      </c>
      <c r="C90" s="1" t="n">
        <v>45733</v>
      </c>
      <c r="D90" t="inlineStr">
        <is>
          <t>KALMAR LÄN</t>
        </is>
      </c>
      <c r="E90" t="inlineStr">
        <is>
          <t>OSKARSHAMN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46276-2024 artfynd.xlsx", "A 46276-2024")</f>
        <v/>
      </c>
      <c r="T90">
        <f>HYPERLINK("https://klasma.github.io/Logging_0882/kartor/A 46276-2024 karta.png", "A 46276-2024")</f>
        <v/>
      </c>
      <c r="V90">
        <f>HYPERLINK("https://klasma.github.io/Logging_0882/klagomål/A 46276-2024 FSC-klagomål.docx", "A 46276-2024")</f>
        <v/>
      </c>
      <c r="W90">
        <f>HYPERLINK("https://klasma.github.io/Logging_0882/klagomålsmail/A 46276-2024 FSC-klagomål mail.docx", "A 46276-2024")</f>
        <v/>
      </c>
      <c r="X90">
        <f>HYPERLINK("https://klasma.github.io/Logging_0882/tillsyn/A 46276-2024 tillsynsbegäran.docx", "A 46276-2024")</f>
        <v/>
      </c>
      <c r="Y90">
        <f>HYPERLINK("https://klasma.github.io/Logging_0882/tillsynsmail/A 46276-2024 tillsynsbegäran mail.docx", "A 46276-2024")</f>
        <v/>
      </c>
    </row>
    <row r="91" ht="15" customHeight="1">
      <c r="A91" t="inlineStr">
        <is>
          <t>A 17837-2019</t>
        </is>
      </c>
      <c r="B91" s="1" t="n">
        <v>43556</v>
      </c>
      <c r="C91" s="1" t="n">
        <v>45733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17945-2019</t>
        </is>
      </c>
      <c r="B92" s="1" t="n">
        <v>43557</v>
      </c>
      <c r="C92" s="1" t="n">
        <v>45733</v>
      </c>
      <c r="D92" t="inlineStr">
        <is>
          <t>KALMAR LÄN</t>
        </is>
      </c>
      <c r="E92" t="inlineStr">
        <is>
          <t>OSKARSHAMN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17908-2019</t>
        </is>
      </c>
      <c r="B93" s="1" t="n">
        <v>43557</v>
      </c>
      <c r="C93" s="1" t="n">
        <v>45733</v>
      </c>
      <c r="D93" t="inlineStr">
        <is>
          <t>KALMAR LÄN</t>
        </is>
      </c>
      <c r="E93" t="inlineStr">
        <is>
          <t>OSKARSHAMN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18241-2019</t>
        </is>
      </c>
      <c r="B94" s="1" t="n">
        <v>43558</v>
      </c>
      <c r="C94" s="1" t="n">
        <v>45733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19618-2019</t>
        </is>
      </c>
      <c r="B95" s="1" t="n">
        <v>43566</v>
      </c>
      <c r="C95" s="1" t="n">
        <v>45733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20225-2019</t>
        </is>
      </c>
      <c r="B96" s="1" t="n">
        <v>43567</v>
      </c>
      <c r="C96" s="1" t="n">
        <v>45733</v>
      </c>
      <c r="D96" t="inlineStr">
        <is>
          <t>KALMAR LÄN</t>
        </is>
      </c>
      <c r="E96" t="inlineStr">
        <is>
          <t>OSKARSHAMN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21323-2019</t>
        </is>
      </c>
      <c r="B97" s="1" t="n">
        <v>43579</v>
      </c>
      <c r="C97" s="1" t="n">
        <v>45733</v>
      </c>
      <c r="D97" t="inlineStr">
        <is>
          <t>KALMAR LÄN</t>
        </is>
      </c>
      <c r="E97" t="inlineStr">
        <is>
          <t>OSKARSHAMN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22405-2019</t>
        </is>
      </c>
      <c r="B98" s="1" t="n">
        <v>43587</v>
      </c>
      <c r="C98" s="1" t="n">
        <v>45733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23831-2019</t>
        </is>
      </c>
      <c r="B99" s="1" t="n">
        <v>43595</v>
      </c>
      <c r="C99" s="1" t="n">
        <v>45733</v>
      </c>
      <c r="D99" t="inlineStr">
        <is>
          <t>KALMAR LÄN</t>
        </is>
      </c>
      <c r="E99" t="inlineStr">
        <is>
          <t>OSKARSHAMN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23773-2019</t>
        </is>
      </c>
      <c r="B100" s="1" t="n">
        <v>43595</v>
      </c>
      <c r="C100" s="1" t="n">
        <v>45733</v>
      </c>
      <c r="D100" t="inlineStr">
        <is>
          <t>KALMAR LÄN</t>
        </is>
      </c>
      <c r="E100" t="inlineStr">
        <is>
          <t>OSKARSHAMN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23819-2019</t>
        </is>
      </c>
      <c r="B101" s="1" t="n">
        <v>43595</v>
      </c>
      <c r="C101" s="1" t="n">
        <v>45733</v>
      </c>
      <c r="D101" t="inlineStr">
        <is>
          <t>KALMAR LÄN</t>
        </is>
      </c>
      <c r="E101" t="inlineStr">
        <is>
          <t>OSKARSHAMN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23768-2019</t>
        </is>
      </c>
      <c r="B102" s="1" t="n">
        <v>43595</v>
      </c>
      <c r="C102" s="1" t="n">
        <v>45733</v>
      </c>
      <c r="D102" t="inlineStr">
        <is>
          <t>KALMAR LÄN</t>
        </is>
      </c>
      <c r="E102" t="inlineStr">
        <is>
          <t>OSKARSHAMN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26380-2019</t>
        </is>
      </c>
      <c r="B103" s="1" t="n">
        <v>43606</v>
      </c>
      <c r="C103" s="1" t="n">
        <v>45733</v>
      </c>
      <c r="D103" t="inlineStr">
        <is>
          <t>KALMAR LÄN</t>
        </is>
      </c>
      <c r="E103" t="inlineStr">
        <is>
          <t>OSKARSHAMN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25585-2019</t>
        </is>
      </c>
      <c r="B104" s="1" t="n">
        <v>43607</v>
      </c>
      <c r="C104" s="1" t="n">
        <v>45733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25869-2019</t>
        </is>
      </c>
      <c r="B105" s="1" t="n">
        <v>43608</v>
      </c>
      <c r="C105" s="1" t="n">
        <v>45733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25870-2019</t>
        </is>
      </c>
      <c r="B106" s="1" t="n">
        <v>43608</v>
      </c>
      <c r="C106" s="1" t="n">
        <v>45733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25871-2019</t>
        </is>
      </c>
      <c r="B107" s="1" t="n">
        <v>43608</v>
      </c>
      <c r="C107" s="1" t="n">
        <v>45733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28038-2019</t>
        </is>
      </c>
      <c r="B108" s="1" t="n">
        <v>43613</v>
      </c>
      <c r="C108" s="1" t="n">
        <v>45733</v>
      </c>
      <c r="D108" t="inlineStr">
        <is>
          <t>KALMAR LÄN</t>
        </is>
      </c>
      <c r="E108" t="inlineStr">
        <is>
          <t>OSKARSHAMN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27581-2019</t>
        </is>
      </c>
      <c r="B109" s="1" t="n">
        <v>43619</v>
      </c>
      <c r="C109" s="1" t="n">
        <v>45733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27534-2019</t>
        </is>
      </c>
      <c r="B110" s="1" t="n">
        <v>43619</v>
      </c>
      <c r="C110" s="1" t="n">
        <v>45733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27584-2019</t>
        </is>
      </c>
      <c r="B111" s="1" t="n">
        <v>43619</v>
      </c>
      <c r="C111" s="1" t="n">
        <v>45733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45733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45733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45733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45733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45733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45733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45733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45733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45733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45733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45733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45733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45733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45733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45733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45733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45733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45733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45733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45733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45733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45733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45733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45733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45733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45733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45733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45733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45733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45733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45733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45733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45733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45733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45733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45733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45733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45733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45733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45733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45733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45733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45733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45733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45733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45733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45733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45733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45733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45733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45733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45733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45733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45733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45733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45733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45733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45733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45733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45733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45733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45733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45733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45733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45733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45733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45733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45733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45733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45733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45733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45733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45733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45733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45733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45733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45733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45733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45733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45733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45733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45733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45733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45733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45733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45733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45733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45733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45733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45733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45733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45733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45733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45733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45733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45733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45733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45733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45733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45733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45733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45733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45733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45733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45733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45733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45733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45733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45733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45733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45733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45733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45733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45733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45733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45733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45733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45733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45733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45733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45733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45733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45733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45733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45733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45733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45733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45733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45733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45733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45733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45733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45733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45733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45733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45733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45733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45733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45733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45733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45733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45733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45733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45733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45733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45733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45733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45733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45733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45733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45733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45733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45733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45733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45733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45733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45733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45733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45733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45733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45733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45733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45733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45733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45733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45733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45733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45733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45733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45733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45733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45733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45733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45733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45733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45733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45733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45733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45733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45733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45733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45733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45733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45733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45733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45733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45733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45733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45733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45733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45733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45733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45733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45733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45733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45733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45733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45733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45733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45733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45733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45733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45733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45733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45733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45733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45733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45733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45733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45733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45733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45733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45733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45733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45733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45733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45733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45733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45733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45733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45733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45733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45733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45733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45733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45733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45733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45733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45733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45733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45733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45733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45733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45733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45733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45733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45733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45733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45733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45733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45733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45733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45733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45733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45733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45733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45733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45733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45733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45733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45733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45733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45733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45733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45733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45733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45733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45733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45733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45733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45733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45733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45733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45733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45733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45733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45733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45733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45733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45733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45733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45733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45733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45733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45733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45733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45733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45733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45733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45733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45733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45733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45733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45733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45733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45733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45733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45733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45733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45733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45733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45733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45733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45733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45733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45733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45733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45733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45733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45733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45733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45733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45733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45733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45733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45733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45733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45733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45733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45733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45733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45733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45733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45733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45733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45733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45733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45733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45733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45733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45733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45733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45733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45733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45733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45733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45733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45733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45733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45733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45733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45733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45733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45733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45733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45733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45733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45733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45733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45733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45733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45733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45733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45733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45733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45733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45733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45733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45733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45733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45733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45733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45733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45733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45733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45733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45733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45733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45733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45733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45733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45733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45733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45733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45733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45733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45733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45733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45733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45733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45733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45733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45733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45733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45733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45733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45733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45733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45733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45733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45733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45733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45733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45733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45733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45733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45733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45733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45733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45733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45733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45733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45733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45733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45733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45733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45733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45733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45733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45733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45733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45733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45733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45733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45733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45733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45733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45733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45733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45733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45733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45733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45733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45733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45733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45733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45733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45733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45733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45733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45733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45733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45733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45733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45733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45733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45733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45733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45733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45733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45733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45733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45733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45733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45733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45733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45733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45733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45733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45733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45733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45733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45733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45733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45733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45733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45733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45733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45733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45733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45733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45733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45733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45733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45733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45733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45733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45733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45733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45733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45733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45733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45733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45733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45733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45733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45733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45733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45733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45733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45733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45733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45733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45733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45733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45733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45733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45733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45733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45733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45733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45733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45733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45733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45733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45733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45733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45733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45733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45733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45733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45733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45733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45733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45733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45733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45733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45733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45733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45733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45733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45733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45733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45733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45733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45733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45733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45733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45733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45733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45733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45733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45733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45733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45733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45733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45733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45733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45733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45733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45733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45733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45733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45733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45733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45733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45733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45733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45733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45733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45733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45733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45733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45733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45733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45733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45733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45733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45733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45733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45733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45733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45733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45733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45733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45733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45733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45733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45733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45733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45733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45733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45733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45733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45733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45733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45733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45733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45733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45733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45733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45733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45733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45733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45733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45733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45733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45733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45733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45733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45733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45733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45733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45733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45733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45733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45733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45733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45733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45733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45733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45733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45733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45733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45733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45733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45733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45733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45733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45733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45733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45733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45733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45733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45733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45733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45733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45733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45733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45733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45733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45733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45733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45733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45733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45733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45733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45733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45733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45733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45733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45733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45733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45733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45733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45733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45733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45733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45733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45733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45733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45733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45733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45733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45733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45733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45733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45733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45733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45733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45733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45733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45733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45733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45733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45733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45733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45733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45733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45733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45733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45733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45733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45733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45733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45733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45733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45733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45733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45733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45733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45733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45733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45733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45733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45733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45733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45733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45733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45733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45733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45733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45733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45733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45733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45733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45733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45733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45733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45733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45733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45733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45733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45733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45733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45733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45733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45733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45733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45733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45733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45733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45733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45733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45733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45733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45733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45733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45733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45733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45733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45733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45733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45733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45733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45733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45733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45733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45733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45733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45733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45733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45733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45733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45733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45733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45733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45733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45733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45733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45733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45733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45733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45733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45733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45733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45733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45733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45733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45733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45733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45733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45733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45733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45733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45733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45733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45733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45733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45733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45733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45733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45733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45733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45733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45733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45733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45733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45733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45733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45733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45733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45733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45733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45733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45733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45733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45733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45733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45733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45733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45733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45733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45733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45733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45733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45733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45733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45733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45733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45733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45733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45733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45733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45733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45733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45733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45733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45733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45733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45733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45733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45733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45733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45733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45733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45733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45733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45733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45733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45733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45733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45733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45733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45733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45733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45733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45733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45733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45733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45733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45733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45733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45733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45733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45733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45733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45733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45733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45733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45733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45733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45733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45733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45733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45733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45733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45733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45733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45733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45733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45733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45733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45733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45733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45733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45733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45733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45733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45733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45733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45733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45733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45733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45733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45733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45733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45733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45733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45733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45733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45733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45733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45733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45733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45733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45733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45733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45733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45733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45733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45733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45733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45733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45733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45733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45733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45733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45733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45733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45733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45733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45733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45733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45733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45733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45733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45733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45733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45733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45733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45733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45733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45733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45733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45733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45733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45733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45733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45733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45733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45733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45733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45733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45733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45733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45733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45733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45733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45733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45733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45733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45733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45733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45733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45733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45733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45733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45733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45733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45733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45733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45733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45733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45733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45733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45733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45733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45733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45733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45733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45733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45733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45733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45733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45733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45733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45733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45733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45733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45733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45733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45733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45733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45733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45733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45733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45733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45733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45733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45733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45733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45733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45733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45733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45733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45733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45733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45733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45733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45733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45733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45733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45733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45733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45733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45733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45733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45733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45733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45733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45733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45733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45733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45733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45733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45733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45733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45733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45733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45733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45733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45733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45733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45733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45733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45733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45733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45733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45733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45733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45733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45733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45733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45733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45733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45733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45733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45733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45733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45733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45733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45733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45733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45733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45733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45733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45733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45733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45733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45733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45733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45733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45733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45733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45733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45733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45733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45733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45733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45733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45733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45733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45733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45733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45733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45733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45733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45733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45733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45733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45733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45733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45733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45733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45733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45733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45733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45733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45733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45733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45733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45733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45733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45733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45733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45733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45733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45733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45733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45733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45733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45733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45733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45733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45733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45733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45733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45733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45733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45733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45733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45733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45733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45733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45733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45733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45733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45733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45733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45733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45733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45733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45733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45733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45733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45733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45733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45733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45733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45733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45733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45733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45733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45733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45733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45733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45733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45733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45733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45733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45733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45733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45733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45733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45733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45733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45733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45733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45733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45733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45733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45733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45733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45733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45733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45733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45733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45733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45733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45733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45733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45733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45733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45733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45733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45733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45733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45733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45733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45733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45733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45733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45733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45733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45733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45733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45733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45733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45733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45733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45733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45733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45733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45733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45733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45733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45733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45733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45733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45733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45733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45733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45733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45733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45733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45733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45733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45733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45733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45733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45733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45733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45733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45733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45733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45733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45733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45733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45733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45733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45733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45733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45733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45733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45733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45733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45733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45733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45733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45733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45733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45733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45733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45733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45733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45733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45733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45733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45733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45733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45733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45733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45733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45733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45733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45733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45733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45733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45733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45733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45733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45733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45733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45733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45733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45733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45733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45733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45733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45733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45733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45733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45733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45733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45733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45733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45733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45733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45733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45733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45733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45733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45733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45733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45733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45733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45733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45733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45733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45733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45733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45733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45733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45733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45733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45733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8282-2025</t>
        </is>
      </c>
      <c r="B1309" s="1" t="n">
        <v>45708</v>
      </c>
      <c r="C1309" s="1" t="n">
        <v>45733</v>
      </c>
      <c r="D1309" t="inlineStr">
        <is>
          <t>KALMAR LÄN</t>
        </is>
      </c>
      <c r="E1309" t="inlineStr">
        <is>
          <t>OSKARSHAMN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8286-2025</t>
        </is>
      </c>
      <c r="B1310" s="1" t="n">
        <v>45708</v>
      </c>
      <c r="C1310" s="1" t="n">
        <v>45733</v>
      </c>
      <c r="D1310" t="inlineStr">
        <is>
          <t>KALMAR LÄN</t>
        </is>
      </c>
      <c r="E1310" t="inlineStr">
        <is>
          <t>OSKARSHAMN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8236-2025</t>
        </is>
      </c>
      <c r="B1311" s="1" t="n">
        <v>45708</v>
      </c>
      <c r="C1311" s="1" t="n">
        <v>45733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45733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45733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45733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45733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45733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45733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9633-2025</t>
        </is>
      </c>
      <c r="B1318" s="1" t="n">
        <v>45715</v>
      </c>
      <c r="C1318" s="1" t="n">
        <v>45733</v>
      </c>
      <c r="D1318" t="inlineStr">
        <is>
          <t>KALMAR LÄN</t>
        </is>
      </c>
      <c r="E1318" t="inlineStr">
        <is>
          <t>OSKARSHAMN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9465-2025</t>
        </is>
      </c>
      <c r="B1319" s="1" t="n">
        <v>45715</v>
      </c>
      <c r="C1319" s="1" t="n">
        <v>45733</v>
      </c>
      <c r="D1319" t="inlineStr">
        <is>
          <t>KALMAR LÄN</t>
        </is>
      </c>
      <c r="E1319" t="inlineStr">
        <is>
          <t>OSKARSHAMN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45733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45733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45733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45733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45733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45733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45733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11507-2025</t>
        </is>
      </c>
      <c r="B1327" s="1" t="n">
        <v>45726</v>
      </c>
      <c r="C1327" s="1" t="n">
        <v>45733</v>
      </c>
      <c r="D1327" t="inlineStr">
        <is>
          <t>KALMAR LÄN</t>
        </is>
      </c>
      <c r="E1327" t="inlineStr">
        <is>
          <t>OSKARSHAMN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45733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45733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45733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45733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12388-2025</t>
        </is>
      </c>
      <c r="B1332" s="1" t="n">
        <v>45730</v>
      </c>
      <c r="C1332" s="1" t="n">
        <v>45733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2025-03-17T17:03:55Z</dcterms:created>
  <dcterms:modified xmlns:dcterms="http://purl.org/dc/terms/" xmlns:xsi="http://www.w3.org/2001/XMLSchema-instance" xsi:type="dcterms:W3CDTF">2025-03-17T17:04:04Z</dcterms:modified>
</cp:coreProperties>
</file>