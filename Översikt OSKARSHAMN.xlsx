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46312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46312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46312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46312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46312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46312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46312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46312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46312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46312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46312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46312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22297-2024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46312</v>
      </c>
      <c r="F20" t="inlineStr">
        <is>
          <t>KALMAR LÄN</t>
        </is>
      </c>
      <c r="G20" t="inlineStr">
        <is>
          <t>OSKARSHAMN</t>
        </is>
      </c>
      <c r="I20" t="n">
        <v>3.4</v>
      </c>
      <c r="J20" t="n">
        <v>1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Ekticka
Rosa skärelav
Blomskägglav
Guldlockmossa
Platt fjädermossa
Kopparödla</t>
        </is>
      </c>
      <c r="W20">
        <f>HYPERLINK("https://klasma.github.io/Logging_0882/artfynd/A 22297-2024 artfynd.xlsx", "A 22297-2024")</f>
        <v/>
      </c>
      <c r="X20">
        <f>HYPERLINK("https://klasma.github.io/Logging_0882/kartor/A 22297-2024 karta.png", "A 22297-2024")</f>
        <v/>
      </c>
      <c r="Y20">
        <f>HYPERLINK("https://klasma.github.io/Logging_0882/kartor_geotiff/A 22297-2024 georefererad karta.tif", "A 22297-2024")</f>
        <v/>
      </c>
      <c r="AA20">
        <f>HYPERLINK("https://klasma.github.io/Logging_0882/klagomål/A 22297-2024 FSC-klagomål.docx", "A 22297-2024")</f>
        <v/>
      </c>
      <c r="AB20">
        <f>HYPERLINK("https://klasma.github.io/Logging_0882/klagomålsmail/A 22297-2024 FSC-klagomål mail.docx", "A 22297-2024")</f>
        <v/>
      </c>
      <c r="AC20">
        <f>HYPERLINK("https://klasma.github.io/Logging_0882/tillsyn/A 22297-2024 tillsynsbegäran.docx", "A 22297-2024")</f>
        <v/>
      </c>
      <c r="AD20">
        <f>HYPERLINK("https://klasma.github.io/Logging_0882/tillsynsmail/A 22297-2024 tillsynsbegäran mail.docx", "A 22297-2024")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46312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46312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46312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26478-2026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46183</v>
      </c>
      <c r="E24" s="1" t="n">
        <v>46312</v>
      </c>
      <c r="F24" t="inlineStr">
        <is>
          <t>KALMAR LÄN</t>
        </is>
      </c>
      <c r="G24" t="inlineStr">
        <is>
          <t>OSKARSHAMN</t>
        </is>
      </c>
      <c r="H24" t="inlineStr">
        <is>
          <t>Kyrkan</t>
        </is>
      </c>
      <c r="I24" t="n">
        <v>0.4</v>
      </c>
      <c r="J24" t="n">
        <v>1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Kandelabersvamp
Vedtrappmossa
Vårärt
Svart trolldruva
Blåsippa</t>
        </is>
      </c>
      <c r="W24">
        <f>HYPERLINK("https://klasma.github.io/Logging_0882/artfynd/A 26478-2026 artfynd.xlsx", "A 26478-2026")</f>
        <v/>
      </c>
      <c r="X24">
        <f>HYPERLINK("https://klasma.github.io/Logging_0882/kartor/A 26478-2026 karta.png", "A 26478-2026")</f>
        <v/>
      </c>
      <c r="Y24">
        <f>HYPERLINK("https://klasma.github.io/Logging_0882/kartor_geotiff/A 26478-2026 georefererad karta.tif", "A 26478-2026")</f>
        <v/>
      </c>
      <c r="AA24">
        <f>HYPERLINK("https://klasma.github.io/Logging_0882/klagomål/A 26478-2026 FSC-klagomål.docx", "A 26478-2026")</f>
        <v/>
      </c>
      <c r="AB24">
        <f>HYPERLINK("https://klasma.github.io/Logging_0882/klagomålsmail/A 26478-2026 FSC-klagomål mail.docx", "A 26478-2026")</f>
        <v/>
      </c>
      <c r="AC24">
        <f>HYPERLINK("https://klasma.github.io/Logging_0882/tillsyn/A 26478-2026 tillsynsbegäran.docx", "A 26478-2026")</f>
        <v/>
      </c>
      <c r="AD24">
        <f>HYPERLINK("https://klasma.github.io/Logging_0882/tillsynsmail/A 26478-2026 tillsynsbegäran mail.docx", "A 26478-2026")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46312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41442-2023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46312</v>
      </c>
      <c r="F27" t="inlineStr">
        <is>
          <t>KALMAR LÄN</t>
        </is>
      </c>
      <c r="G27" t="inlineStr">
        <is>
          <t>OSKARSHAMN</t>
        </is>
      </c>
      <c r="I27" t="n">
        <v>5.1</v>
      </c>
      <c r="J27" t="n">
        <v>0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Klubbsprötad bastardsvärmare
Solvända</t>
        </is>
      </c>
      <c r="W27">
        <f>HYPERLINK("https://klasma.github.io/Logging_0882/artfynd/A 41442-2023 artfynd.xlsx", "A 41442-2023")</f>
        <v/>
      </c>
      <c r="X27">
        <f>HYPERLINK("https://klasma.github.io/Logging_0882/kartor/A 41442-2023 karta.png", "A 41442-2023")</f>
        <v/>
      </c>
      <c r="Y27">
        <f>HYPERLINK("https://klasma.github.io/Logging_0882/kartor_geotiff/A 41442-2023 georefererad karta.tif", "A 41442-2023")</f>
        <v/>
      </c>
      <c r="AA27">
        <f>HYPERLINK("https://klasma.github.io/Logging_0882/klagomål/A 41442-2023 FSC-klagomål.docx", "A 41442-2023")</f>
        <v/>
      </c>
      <c r="AB27">
        <f>HYPERLINK("https://klasma.github.io/Logging_0882/klagomålsmail/A 41442-2023 FSC-klagomål mail.docx", "A 41442-2023")</f>
        <v/>
      </c>
      <c r="AC27">
        <f>HYPERLINK("https://klasma.github.io/Logging_0882/tillsyn/A 41442-2023 tillsynsbegäran.docx", "A 41442-2023")</f>
        <v/>
      </c>
      <c r="AD27">
        <f>HYPERLINK("https://klasma.github.io/Logging_0882/tillsynsmail/A 41442-2023 tillsynsbegäran mail.docx", "A 41442-2023")</f>
        <v/>
      </c>
    </row>
    <row r="28" ht="15" customHeight="1">
      <c r="A28" t="inlineStr">
        <is>
          <t>A 6993-2025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46312</v>
      </c>
      <c r="F28" t="inlineStr">
        <is>
          <t>KALMAR LÄN</t>
        </is>
      </c>
      <c r="G28" t="inlineStr">
        <is>
          <t>OSKARSHAMN</t>
        </is>
      </c>
      <c r="I28" t="n">
        <v>5.8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10</v>
      </c>
      <c r="U28" t="n">
        <v>10</v>
      </c>
      <c r="V28" s="2" t="inlineStr">
        <is>
          <t>Tallticka
Blåmossa
Spillkråka
Trädlärka</t>
        </is>
      </c>
      <c r="W28">
        <f>HYPERLINK("https://klasma.github.io/Logging_0882/artfynd/A 6993-2025 artfynd.xlsx", "A 6993-2025")</f>
        <v/>
      </c>
      <c r="X28">
        <f>HYPERLINK("https://klasma.github.io/Logging_0882/kartor/A 6993-2025 karta.png", "A 6993-2025")</f>
        <v/>
      </c>
      <c r="Y28">
        <f>HYPERLINK("https://klasma.github.io/Logging_0882/kartor_geotiff/A 6993-2025 georefererad karta.tif", "A 6993-2025")</f>
        <v/>
      </c>
      <c r="AA28">
        <f>HYPERLINK("https://klasma.github.io/Logging_0882/klagomål/A 6993-2025 FSC-klagomål.docx", "A 6993-2025")</f>
        <v/>
      </c>
      <c r="AB28">
        <f>HYPERLINK("https://klasma.github.io/Logging_0882/klagomålsmail/A 6993-2025 FSC-klagomål mail.docx", "A 6993-2025")</f>
        <v/>
      </c>
      <c r="AC28">
        <f>HYPERLINK("https://klasma.github.io/Logging_0882/tillsyn/A 6993-2025 tillsynsbegäran.docx", "A 6993-2025")</f>
        <v/>
      </c>
      <c r="AD28">
        <f>HYPERLINK("https://klasma.github.io/Logging_0882/tillsynsmail/A 6993-2025 tillsynsbegäran mail.docx", "A 6993-2025")</f>
        <v/>
      </c>
      <c r="AE28">
        <f>HYPERLINK("https://klasma.github.io/Logging_0882/fåglar/A 6993-2025 prioriterade fågelarter.docx", "A 6993-2025")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46312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46312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46312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46312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46312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46312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46312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46312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46312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635-2022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44568</v>
      </c>
      <c r="E38" s="1" t="n">
        <v>46312</v>
      </c>
      <c r="F38" t="inlineStr">
        <is>
          <t>KALMAR LÄN</t>
        </is>
      </c>
      <c r="G38" t="inlineStr">
        <is>
          <t>OSKARSHAMN</t>
        </is>
      </c>
      <c r="I38" t="n">
        <v>6.2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Jungfrulin
Orange taggsvamp</t>
        </is>
      </c>
      <c r="W38">
        <f>HYPERLINK("https://klasma.github.io/Logging_0882/artfynd/A 635-2022 artfynd.xlsx", "A 635-2022")</f>
        <v/>
      </c>
      <c r="X38">
        <f>HYPERLINK("https://klasma.github.io/Logging_0882/kartor/A 635-2022 karta.png", "A 635-2022")</f>
        <v/>
      </c>
      <c r="Y38">
        <f>HYPERLINK("https://klasma.github.io/Logging_0882/kartor_geotiff/A 635-2022 georefererad karta.tif", "A 635-2022")</f>
        <v/>
      </c>
      <c r="AA38">
        <f>HYPERLINK("https://klasma.github.io/Logging_0882/klagomål/A 635-2022 FSC-klagomål.docx", "A 635-2022")</f>
        <v/>
      </c>
      <c r="AB38">
        <f>HYPERLINK("https://klasma.github.io/Logging_0882/klagomålsmail/A 635-2022 FSC-klagomål mail.docx", "A 635-2022")</f>
        <v/>
      </c>
      <c r="AC38">
        <f>HYPERLINK("https://klasma.github.io/Logging_0882/tillsyn/A 635-2022 tillsynsbegäran.docx", "A 635-2022")</f>
        <v/>
      </c>
      <c r="AD38">
        <f>HYPERLINK("https://klasma.github.io/Logging_0882/tillsynsmail/A 635-2022 tillsynsbegäran mail.docx", "A 635-2022")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46312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46312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43548-2022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46312</v>
      </c>
      <c r="F41" t="inlineStr">
        <is>
          <t>KALMAR LÄN</t>
        </is>
      </c>
      <c r="G41" t="inlineStr">
        <is>
          <t>OSKARSHAMN</t>
        </is>
      </c>
      <c r="I41" t="n">
        <v>1.6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Ekoxe
Skogsödla</t>
        </is>
      </c>
      <c r="W41">
        <f>HYPERLINK("https://klasma.github.io/Logging_0882/artfynd/A 43548-2022 artfynd.xlsx", "A 43548-2022")</f>
        <v/>
      </c>
      <c r="X41">
        <f>HYPERLINK("https://klasma.github.io/Logging_0882/kartor/A 43548-2022 karta.png", "A 43548-2022")</f>
        <v/>
      </c>
      <c r="Y41">
        <f>HYPERLINK("https://klasma.github.io/Logging_0882/kartor_geotiff/A 43548-2022 georefererad karta.tif", "A 43548-2022")</f>
        <v/>
      </c>
      <c r="AA41">
        <f>HYPERLINK("https://klasma.github.io/Logging_0882/klagomål/A 43548-2022 FSC-klagomål.docx", "A 43548-2022")</f>
        <v/>
      </c>
      <c r="AB41">
        <f>HYPERLINK("https://klasma.github.io/Logging_0882/klagomålsmail/A 43548-2022 FSC-klagomål mail.docx", "A 43548-2022")</f>
        <v/>
      </c>
      <c r="AC41">
        <f>HYPERLINK("https://klasma.github.io/Logging_0882/tillsyn/A 43548-2022 tillsynsbegäran.docx", "A 43548-2022")</f>
        <v/>
      </c>
      <c r="AD41">
        <f>HYPERLINK("https://klasma.github.io/Logging_0882/tillsynsmail/A 43548-2022 tillsynsbegäran mail.docx", "A 43548-2022")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46312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Mindre hackspett
Spillkråka</t>
        </is>
      </c>
      <c r="W42">
        <f>HYPERLINK("https://klasma.github.io/Logging_0882/artfynd/A 30933-2023 artfynd.xlsx", "A 30933-2023")</f>
        <v/>
      </c>
      <c r="X42">
        <f>HYPERLINK("https://klasma.github.io/Logging_0882/kartor/A 30933-2023 karta.png", "A 30933-2023")</f>
        <v/>
      </c>
      <c r="Y42">
        <f>HYPERLINK("https://klasma.github.io/Logging_0882/kartor_geotiff/A 30933-2023 georefererad karta.tif", "A 30933-2023")</f>
        <v/>
      </c>
      <c r="AA42">
        <f>HYPERLINK("https://klasma.github.io/Logging_0882/klagomål/A 30933-2023 FSC-klagomål.docx", "A 30933-2023")</f>
        <v/>
      </c>
      <c r="AB42">
        <f>HYPERLINK("https://klasma.github.io/Logging_0882/klagomålsmail/A 30933-2023 FSC-klagomål mail.docx", "A 30933-2023")</f>
        <v/>
      </c>
      <c r="AC42">
        <f>HYPERLINK("https://klasma.github.io/Logging_0882/tillsyn/A 30933-2023 tillsynsbegäran.docx", "A 30933-2023")</f>
        <v/>
      </c>
      <c r="AD42">
        <f>HYPERLINK("https://klasma.github.io/Logging_0882/tillsynsmail/A 30933-2023 tillsynsbegäran mail.docx", "A 30933-2023")</f>
        <v/>
      </c>
      <c r="AE42">
        <f>HYPERLINK("https://klasma.github.io/Logging_0882/fåglar/A 30933-2023 prioriterade fågelarter.docx", "A 30933-2023")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46312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46312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46312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46276-2024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46312</v>
      </c>
      <c r="F46" t="inlineStr">
        <is>
          <t>KALMAR LÄN</t>
        </is>
      </c>
      <c r="G46" t="inlineStr">
        <is>
          <t>OSKARSHAMN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Blåsippa</t>
        </is>
      </c>
      <c r="W46">
        <f>HYPERLINK("https://klasma.github.io/Logging_0882/artfynd/A 46276-2024 artfynd.xlsx", "A 46276-2024")</f>
        <v/>
      </c>
      <c r="X46">
        <f>HYPERLINK("https://klasma.github.io/Logging_0882/kartor/A 46276-2024 karta.png", "A 46276-2024")</f>
        <v/>
      </c>
      <c r="Y46">
        <f>HYPERLINK("https://klasma.github.io/Logging_0882/kartor_geotiff/A 46276-2024 georefererad karta.tif", "A 46276-2024")</f>
        <v/>
      </c>
      <c r="AA46">
        <f>HYPERLINK("https://klasma.github.io/Logging_0882/klagomål/A 46276-2024 FSC-klagomål.docx", "A 46276-2024")</f>
        <v/>
      </c>
      <c r="AB46">
        <f>HYPERLINK("https://klasma.github.io/Logging_0882/klagomålsmail/A 46276-2024 FSC-klagomål mail.docx", "A 46276-2024")</f>
        <v/>
      </c>
      <c r="AC46">
        <f>HYPERLINK("https://klasma.github.io/Logging_0882/tillsyn/A 46276-2024 tillsynsbegäran.docx", "A 46276-2024")</f>
        <v/>
      </c>
      <c r="AD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46312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17193-2023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45034</v>
      </c>
      <c r="E48" s="1" t="n">
        <v>46312</v>
      </c>
      <c r="F48" t="inlineStr">
        <is>
          <t>KALMAR LÄN</t>
        </is>
      </c>
      <c r="G48" t="inlineStr">
        <is>
          <t>OSKARSHAMN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Slåttergubbe</t>
        </is>
      </c>
      <c r="W48">
        <f>HYPERLINK("https://klasma.github.io/Logging_0882/artfynd/A 17193-2023 artfynd.xlsx", "A 17193-2023")</f>
        <v/>
      </c>
      <c r="X48">
        <f>HYPERLINK("https://klasma.github.io/Logging_0882/kartor/A 17193-2023 karta.png", "A 17193-2023")</f>
        <v/>
      </c>
      <c r="Y48">
        <f>HYPERLINK("https://klasma.github.io/Logging_0882/kartor_geotiff/A 17193-2023 georefererad karta.tif", "A 17193-2023")</f>
        <v/>
      </c>
      <c r="AA48">
        <f>HYPERLINK("https://klasma.github.io/Logging_0882/klagomål/A 17193-2023 FSC-klagomål.docx", "A 17193-2023")</f>
        <v/>
      </c>
      <c r="AB48">
        <f>HYPERLINK("https://klasma.github.io/Logging_0882/klagomålsmail/A 17193-2023 FSC-klagomål mail.docx", "A 17193-2023")</f>
        <v/>
      </c>
      <c r="AC48">
        <f>HYPERLINK("https://klasma.github.io/Logging_0882/tillsyn/A 17193-2023 tillsynsbegäran.docx", "A 17193-2023")</f>
        <v/>
      </c>
      <c r="AD48">
        <f>HYPERLINK("https://klasma.github.io/Logging_0882/tillsynsmail/A 17193-2023 tillsynsbegäran mail.docx", "A 17193-2023")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46312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27854-2023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45098</v>
      </c>
      <c r="E50" s="1" t="n">
        <v>46312</v>
      </c>
      <c r="F50" t="inlineStr">
        <is>
          <t>KALMAR LÄN</t>
        </is>
      </c>
      <c r="G50" t="inlineStr">
        <is>
          <t>OSKARSHAMN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HYPERLINK("https://klasma.github.io/Logging_0882/artfynd/A 27854-2023 artfynd.xlsx", "A 27854-2023")</f>
        <v/>
      </c>
      <c r="X50">
        <f>HYPERLINK("https://klasma.github.io/Logging_0882/kartor/A 27854-2023 karta.png", "A 27854-2023")</f>
        <v/>
      </c>
      <c r="Y50">
        <f>HYPERLINK("https://klasma.github.io/Logging_0882/kartor_geotiff/A 27854-2023 georefererad karta.tif", "A 27854-2023")</f>
        <v/>
      </c>
      <c r="AA50">
        <f>HYPERLINK("https://klasma.github.io/Logging_0882/klagomål/A 27854-2023 FSC-klagomål.docx", "A 27854-2023")</f>
        <v/>
      </c>
      <c r="AB50">
        <f>HYPERLINK("https://klasma.github.io/Logging_0882/klagomålsmail/A 27854-2023 FSC-klagomål mail.docx", "A 27854-2023")</f>
        <v/>
      </c>
      <c r="AC50">
        <f>HYPERLINK("https://klasma.github.io/Logging_0882/tillsyn/A 27854-2023 tillsynsbegäran.docx", "A 27854-2023")</f>
        <v/>
      </c>
      <c r="AD50">
        <f>HYPERLINK("https://klasma.github.io/Logging_0882/tillsynsmail/A 27854-2023 tillsynsbegäran mail.docx", "A 27854-2023")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46312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20166-2026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46312</v>
      </c>
      <c r="F52" t="inlineStr">
        <is>
          <t>KALMAR LÄN</t>
        </is>
      </c>
      <c r="G52" t="inlineStr">
        <is>
          <t>OSKARSHAMN</t>
        </is>
      </c>
      <c r="I52" t="n">
        <v>2.1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Murgröna</t>
        </is>
      </c>
      <c r="W52">
        <f>HYPERLINK("https://klasma.github.io/Logging_0882/artfynd/A 20166-2026 artfynd.xlsx", "A 20166-2026")</f>
        <v/>
      </c>
      <c r="X52">
        <f>HYPERLINK("https://klasma.github.io/Logging_0882/kartor/A 20166-2026 karta.png", "A 20166-2026")</f>
        <v/>
      </c>
      <c r="Y52">
        <f>HYPERLINK("https://klasma.github.io/Logging_0882/kartor_geotiff/A 20166-2026 georefererad karta.tif", "A 20166-2026")</f>
        <v/>
      </c>
      <c r="AA52">
        <f>HYPERLINK("https://klasma.github.io/Logging_0882/klagomål/A 20166-2026 FSC-klagomål.docx", "A 20166-2026")</f>
        <v/>
      </c>
      <c r="AB52">
        <f>HYPERLINK("https://klasma.github.io/Logging_0882/klagomålsmail/A 20166-2026 FSC-klagomål mail.docx", "A 20166-2026")</f>
        <v/>
      </c>
      <c r="AC52">
        <f>HYPERLINK("https://klasma.github.io/Logging_0882/tillsyn/A 20166-2026 tillsynsbegäran.docx", "A 20166-2026")</f>
        <v/>
      </c>
      <c r="AD52">
        <f>HYPERLINK("https://klasma.github.io/Logging_0882/tillsynsmail/A 20166-2026 tillsynsbegäran mail.docx", "A 20166-2026")</f>
        <v/>
      </c>
    </row>
    <row r="53" ht="15" customHeight="1">
      <c r="A53" t="inlineStr">
        <is>
          <t>A 5111-2024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46312</v>
      </c>
      <c r="F53" t="inlineStr">
        <is>
          <t>KALMAR LÄN</t>
        </is>
      </c>
      <c r="G53" t="inlineStr">
        <is>
          <t>OSKARSHAMN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HYPERLINK("https://klasma.github.io/Logging_0882/artfynd/A 5111-2024 artfynd.xlsx", "A 5111-2024")</f>
        <v/>
      </c>
      <c r="X53">
        <f>HYPERLINK("https://klasma.github.io/Logging_0882/kartor/A 5111-2024 karta.png", "A 5111-2024")</f>
        <v/>
      </c>
      <c r="Y53">
        <f>HYPERLINK("https://klasma.github.io/Logging_0882/kartor_geotiff/A 5111-2024 georefererad karta.tif", "A 5111-2024")</f>
        <v/>
      </c>
      <c r="Z53">
        <f>HYPERLINK("https://klasma.github.io/Logging_0882/knärot/A 5111-2024 karta knärot.png", "A 5111-2024")</f>
        <v/>
      </c>
      <c r="AA53">
        <f>HYPERLINK("https://klasma.github.io/Logging_0882/klagomål/A 5111-2024 FSC-klagomål.docx", "A 5111-2024")</f>
        <v/>
      </c>
      <c r="AB53">
        <f>HYPERLINK("https://klasma.github.io/Logging_0882/klagomålsmail/A 5111-2024 FSC-klagomål mail.docx", "A 5111-2024")</f>
        <v/>
      </c>
      <c r="AC53">
        <f>HYPERLINK("https://klasma.github.io/Logging_0882/tillsyn/A 5111-2024 tillsynsbegäran.docx", "A 5111-2024")</f>
        <v/>
      </c>
      <c r="AD53">
        <f>HYPERLINK("https://klasma.github.io/Logging_0882/tillsynsmail/A 5111-2024 tillsynsbegäran mail.docx", "A 5111-2024")</f>
        <v/>
      </c>
    </row>
    <row r="54" ht="15" customHeight="1">
      <c r="A54" t="inlineStr">
        <is>
          <t>A 26730-2026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46312</v>
      </c>
      <c r="F54" t="inlineStr">
        <is>
          <t>KALMAR LÄN</t>
        </is>
      </c>
      <c r="G54" t="inlineStr">
        <is>
          <t>OSKARSHAMN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Mosippa</t>
        </is>
      </c>
      <c r="W54">
        <f>HYPERLINK("https://klasma.github.io/Logging_0882/artfynd/A 26730-2026 artfynd.xlsx", "A 26730-2026")</f>
        <v/>
      </c>
      <c r="X54">
        <f>HYPERLINK("https://klasma.github.io/Logging_0882/kartor/A 26730-2026 karta.png", "A 26730-2026")</f>
        <v/>
      </c>
      <c r="Y54">
        <f>HYPERLINK("https://klasma.github.io/Logging_0882/kartor_geotiff/A 26730-2026 georefererad karta.tif", "A 26730-2026")</f>
        <v/>
      </c>
      <c r="AA54">
        <f>HYPERLINK("https://klasma.github.io/Logging_0882/klagomål/A 26730-2026 FSC-klagomål.docx", "A 26730-2026")</f>
        <v/>
      </c>
      <c r="AB54">
        <f>HYPERLINK("https://klasma.github.io/Logging_0882/klagomålsmail/A 26730-2026 FSC-klagomål mail.docx", "A 26730-2026")</f>
        <v/>
      </c>
      <c r="AC54">
        <f>HYPERLINK("https://klasma.github.io/Logging_0882/tillsyn/A 26730-2026 tillsynsbegäran.docx", "A 26730-2026")</f>
        <v/>
      </c>
      <c r="AD54">
        <f>HYPERLINK("https://klasma.github.io/Logging_0882/tillsynsmail/A 26730-2026 tillsynsbegäran mail.docx", "A 26730-2026")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46312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46312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46312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46312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41417-2026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46301</v>
      </c>
      <c r="E59" s="1" t="n">
        <v>46312</v>
      </c>
      <c r="F59" t="inlineStr">
        <is>
          <t>KALMAR LÄN</t>
        </is>
      </c>
      <c r="G59" t="inlineStr">
        <is>
          <t>OSKARSHAMN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HYPERLINK("https://klasma.github.io/Logging_0882/artfynd/A 41417-2026 artfynd.xlsx", "A 41417-2026")</f>
        <v/>
      </c>
      <c r="X59">
        <f>HYPERLINK("https://klasma.github.io/Logging_0882/kartor/A 41417-2026 karta.png", "A 41417-2026")</f>
        <v/>
      </c>
      <c r="Y59">
        <f>HYPERLINK("https://klasma.github.io/Logging_0882/kartor_geotiff/A 41417-2026 georefererad karta.tif", "A 41417-2026")</f>
        <v/>
      </c>
      <c r="AA59">
        <f>HYPERLINK("https://klasma.github.io/Logging_0882/klagomål/A 41417-2026 FSC-klagomål.docx", "A 41417-2026")</f>
        <v/>
      </c>
      <c r="AB59">
        <f>HYPERLINK("https://klasma.github.io/Logging_0882/klagomålsmail/A 41417-2026 FSC-klagomål mail.docx", "A 41417-2026")</f>
        <v/>
      </c>
      <c r="AC59">
        <f>HYPERLINK("https://klasma.github.io/Logging_0882/tillsyn/A 41417-2026 tillsynsbegäran.docx", "A 41417-2026")</f>
        <v/>
      </c>
      <c r="AD59">
        <f>HYPERLINK("https://klasma.github.io/Logging_0882/tillsynsmail/A 41417-2026 tillsynsbegäran mail.docx", "A 41417-2026")</f>
        <v/>
      </c>
      <c r="AE59">
        <f>HYPERLINK("https://klasma.github.io/Logging_0882/fåglar/A 41417-2026 prioriterade fågelarter.docx", "A 41417-2026")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46312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46312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45175</v>
      </c>
      <c r="E62" s="1" t="n">
        <v>46312</v>
      </c>
      <c r="F62" t="inlineStr">
        <is>
          <t>KALMAR LÄN</t>
        </is>
      </c>
      <c r="G62" t="inlineStr">
        <is>
          <t>OSKARSHAMN</t>
        </is>
      </c>
      <c r="I62" t="n">
        <v>11.4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Blåmossa</t>
        </is>
      </c>
      <c r="W62">
        <f>HYPERLINK("https://klasma.github.io/Logging_0882/artfynd/A 42443-2023 artfynd.xlsx", "A 42443-2023")</f>
        <v/>
      </c>
      <c r="X62">
        <f>HYPERLINK("https://klasma.github.io/Logging_0882/kartor/A 42443-2023 karta.png", "A 42443-2023")</f>
        <v/>
      </c>
      <c r="Y62">
        <f>HYPERLINK("https://klasma.github.io/Logging_0882/kartor_geotiff/A 42443-2023 georefererad karta.tif", "A 42443-2023")</f>
        <v/>
      </c>
      <c r="AA62">
        <f>HYPERLINK("https://klasma.github.io/Logging_0882/klagomål/A 42443-2023 FSC-klagomål.docx", "A 42443-2023")</f>
        <v/>
      </c>
      <c r="AB62">
        <f>HYPERLINK("https://klasma.github.io/Logging_0882/klagomålsmail/A 42443-2023 FSC-klagomål mail.docx", "A 42443-2023")</f>
        <v/>
      </c>
      <c r="AC62">
        <f>HYPERLINK("https://klasma.github.io/Logging_0882/tillsyn/A 42443-2023 tillsynsbegäran.docx", "A 42443-2023")</f>
        <v/>
      </c>
      <c r="AD62">
        <f>HYPERLINK("https://klasma.github.io/Logging_0882/tillsynsmail/A 42443-2023 tillsynsbegäran mail.docx", "A 42443-2023")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46312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46312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46312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46312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46312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46312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46312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46312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46312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46312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46312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46312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46312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46312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46312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46312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46312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46312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46312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46312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46312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46312</v>
      </c>
      <c r="F84" t="inlineStr">
        <is>
          <t>KALMAR LÄN</t>
        </is>
      </c>
      <c r="G84" t="inlineStr">
        <is>
          <t>OSKARSHAMN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46312</v>
      </c>
      <c r="F85" t="inlineStr">
        <is>
          <t>KALMAR LÄN</t>
        </is>
      </c>
      <c r="G85" t="inlineStr">
        <is>
          <t>OSKARSHAMN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46312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46312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46312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46312</v>
      </c>
      <c r="F89" t="inlineStr">
        <is>
          <t>KALMAR LÄN</t>
        </is>
      </c>
      <c r="G89" t="inlineStr">
        <is>
          <t>OSKARSHAMN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46312</v>
      </c>
      <c r="F90" t="inlineStr">
        <is>
          <t>KALMAR LÄN</t>
        </is>
      </c>
      <c r="G90" t="inlineStr">
        <is>
          <t>OSKARSHAMN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46312</v>
      </c>
      <c r="F91" t="inlineStr">
        <is>
          <t>KALMAR LÄN</t>
        </is>
      </c>
      <c r="G91" t="inlineStr">
        <is>
          <t>OSKARSHAMN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46312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46312</v>
      </c>
      <c r="F93" t="inlineStr">
        <is>
          <t>KALMAR LÄN</t>
        </is>
      </c>
      <c r="G93" t="inlineStr">
        <is>
          <t>OSKARSHAMN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44869</v>
      </c>
      <c r="E94" s="1" t="n">
        <v>46312</v>
      </c>
      <c r="F94" t="inlineStr">
        <is>
          <t>KALMAR LÄN</t>
        </is>
      </c>
      <c r="G94" t="inlineStr">
        <is>
          <t>OSKARSHAMN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46312</v>
      </c>
      <c r="F95" t="inlineStr">
        <is>
          <t>KALMAR LÄN</t>
        </is>
      </c>
      <c r="G95" t="inlineStr">
        <is>
          <t>OSKARSHAMN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46312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46312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46312</v>
      </c>
      <c r="F98" t="inlineStr">
        <is>
          <t>KALMAR LÄN</t>
        </is>
      </c>
      <c r="G98" t="inlineStr">
        <is>
          <t>OSKARSHAMN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46312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46312</v>
      </c>
      <c r="F100" t="inlineStr">
        <is>
          <t>KALMAR LÄN</t>
        </is>
      </c>
      <c r="G100" t="inlineStr">
        <is>
          <t>OSKARSHAMN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44593</v>
      </c>
      <c r="E101" s="1" t="n">
        <v>46312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46312</v>
      </c>
      <c r="F102" t="inlineStr">
        <is>
          <t>KALMAR LÄN</t>
        </is>
      </c>
      <c r="G102" t="inlineStr">
        <is>
          <t>OSKARSHAMN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46312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46312</v>
      </c>
      <c r="F104" t="inlineStr">
        <is>
          <t>KALMAR LÄN</t>
        </is>
      </c>
      <c r="G104" t="inlineStr">
        <is>
          <t>OSKARSHAMN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44789</v>
      </c>
      <c r="E105" s="1" t="n">
        <v>46312</v>
      </c>
      <c r="F105" t="inlineStr">
        <is>
          <t>KALMAR LÄN</t>
        </is>
      </c>
      <c r="G105" t="inlineStr">
        <is>
          <t>OSKARSHAMN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46312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46312</v>
      </c>
      <c r="F107" t="inlineStr">
        <is>
          <t>KALMAR LÄN</t>
        </is>
      </c>
      <c r="G107" t="inlineStr">
        <is>
          <t>OSKARSHAMN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46312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44656</v>
      </c>
      <c r="E109" s="1" t="n">
        <v>46312</v>
      </c>
      <c r="F109" t="inlineStr">
        <is>
          <t>KALMAR LÄN</t>
        </is>
      </c>
      <c r="G109" t="inlineStr">
        <is>
          <t>OSKARSHAMN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46312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46312</v>
      </c>
      <c r="F111" t="inlineStr">
        <is>
          <t>KALMAR LÄN</t>
        </is>
      </c>
      <c r="G111" t="inlineStr">
        <is>
          <t>OSKARSHAMN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44965</v>
      </c>
      <c r="E112" s="1" t="n">
        <v>46312</v>
      </c>
      <c r="F112" t="inlineStr">
        <is>
          <t>KALMAR LÄN</t>
        </is>
      </c>
      <c r="G112" t="inlineStr">
        <is>
          <t>OSKARSHAMN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46312</v>
      </c>
      <c r="F113" t="inlineStr">
        <is>
          <t>KALMAR LÄN</t>
        </is>
      </c>
      <c r="G113" t="inlineStr">
        <is>
          <t>OSKARSHAMN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35531-2024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46312</v>
      </c>
      <c r="F114" t="inlineStr">
        <is>
          <t>KALMAR LÄN</t>
        </is>
      </c>
      <c r="G114" t="inlineStr">
        <is>
          <t>OSKARSHAMN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46312</v>
      </c>
      <c r="F115" t="inlineStr">
        <is>
          <t>KALMAR LÄN</t>
        </is>
      </c>
      <c r="G115" t="inlineStr">
        <is>
          <t>OSKARSHAMN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46312</v>
      </c>
      <c r="F116" t="inlineStr">
        <is>
          <t>KALMAR LÄN</t>
        </is>
      </c>
      <c r="G116" t="inlineStr">
        <is>
          <t>OSKARSHAMN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46312</v>
      </c>
      <c r="F117" t="inlineStr">
        <is>
          <t>KALMAR LÄN</t>
        </is>
      </c>
      <c r="G117" t="inlineStr">
        <is>
          <t>OSKARSHAMN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46312</v>
      </c>
      <c r="F118" t="inlineStr">
        <is>
          <t>KALMAR LÄN</t>
        </is>
      </c>
      <c r="G118" t="inlineStr">
        <is>
          <t>OSKARSHAMN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46312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46312</v>
      </c>
      <c r="F120" t="inlineStr">
        <is>
          <t>KALMAR LÄN</t>
        </is>
      </c>
      <c r="G120" t="inlineStr">
        <is>
          <t>OSKARSHAMN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27684-2022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44743</v>
      </c>
      <c r="E121" s="1" t="n">
        <v>46312</v>
      </c>
      <c r="F121" t="inlineStr">
        <is>
          <t>KALMAR LÄN</t>
        </is>
      </c>
      <c r="G121" t="inlineStr">
        <is>
          <t>OSKARSHAMN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46312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45364</v>
      </c>
      <c r="E123" s="1" t="n">
        <v>46312</v>
      </c>
      <c r="F123" t="inlineStr">
        <is>
          <t>KALMAR LÄN</t>
        </is>
      </c>
      <c r="G123" t="inlineStr">
        <is>
          <t>OSKARSHAMN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46312</v>
      </c>
      <c r="F124" t="inlineStr">
        <is>
          <t>KALMAR LÄN</t>
        </is>
      </c>
      <c r="G124" t="inlineStr">
        <is>
          <t>OSKARSHAMN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46312</v>
      </c>
      <c r="F125" t="inlineStr">
        <is>
          <t>KALMAR LÄN</t>
        </is>
      </c>
      <c r="G125" t="inlineStr">
        <is>
          <t>OSKARSHAMN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46312</v>
      </c>
      <c r="F126" t="inlineStr">
        <is>
          <t>KALMAR LÄN</t>
        </is>
      </c>
      <c r="G126" t="inlineStr">
        <is>
          <t>OSKARSHAMN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46312</v>
      </c>
      <c r="F127" t="inlineStr">
        <is>
          <t>KALMAR LÄN</t>
        </is>
      </c>
      <c r="G127" t="inlineStr">
        <is>
          <t>OSKARSHAMN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44749</v>
      </c>
      <c r="E128" s="1" t="n">
        <v>46312</v>
      </c>
      <c r="F128" t="inlineStr">
        <is>
          <t>KALMAR LÄN</t>
        </is>
      </c>
      <c r="G128" t="inlineStr">
        <is>
          <t>OSKARSHAMN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46312</v>
      </c>
      <c r="F129" t="inlineStr">
        <is>
          <t>KALMAR LÄN</t>
        </is>
      </c>
      <c r="G129" t="inlineStr">
        <is>
          <t>OSKARSHAMN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46312</v>
      </c>
      <c r="F130" t="inlineStr">
        <is>
          <t>KALMAR LÄN</t>
        </is>
      </c>
      <c r="G130" t="inlineStr">
        <is>
          <t>OSKARSHAMN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45489</v>
      </c>
      <c r="E131" s="1" t="n">
        <v>46312</v>
      </c>
      <c r="F131" t="inlineStr">
        <is>
          <t>KALMAR LÄN</t>
        </is>
      </c>
      <c r="G131" t="inlineStr">
        <is>
          <t>OSKARSHAMN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46312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46312</v>
      </c>
      <c r="F133" t="inlineStr">
        <is>
          <t>KALMAR LÄN</t>
        </is>
      </c>
      <c r="G133" t="inlineStr">
        <is>
          <t>OSKARSHAMN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46312</v>
      </c>
      <c r="F134" t="inlineStr">
        <is>
          <t>KALMAR LÄN</t>
        </is>
      </c>
      <c r="G134" t="inlineStr">
        <is>
          <t>OSKARSHAMN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46312</v>
      </c>
      <c r="F135" t="inlineStr">
        <is>
          <t>KALMAR LÄN</t>
        </is>
      </c>
      <c r="G135" t="inlineStr">
        <is>
          <t>OSKARSHAMN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46312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46312</v>
      </c>
      <c r="F137" t="inlineStr">
        <is>
          <t>KALMAR LÄN</t>
        </is>
      </c>
      <c r="G137" t="inlineStr">
        <is>
          <t>OSKARSHAMN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44818</v>
      </c>
      <c r="E138" s="1" t="n">
        <v>46312</v>
      </c>
      <c r="F138" t="inlineStr">
        <is>
          <t>KALMAR LÄN</t>
        </is>
      </c>
      <c r="G138" t="inlineStr">
        <is>
          <t>OSKARSHAMN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46312</v>
      </c>
      <c r="F139" t="inlineStr">
        <is>
          <t>KALMAR LÄN</t>
        </is>
      </c>
      <c r="G139" t="inlineStr">
        <is>
          <t>OSKARSHAMN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46312</v>
      </c>
      <c r="F140" t="inlineStr">
        <is>
          <t>KALMAR LÄN</t>
        </is>
      </c>
      <c r="G140" t="inlineStr">
        <is>
          <t>OSKARSHAMN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46312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46312</v>
      </c>
      <c r="F142" t="inlineStr">
        <is>
          <t>KALMAR LÄN</t>
        </is>
      </c>
      <c r="G142" t="inlineStr">
        <is>
          <t>OSKARSHAMN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46312</v>
      </c>
      <c r="F143" t="inlineStr">
        <is>
          <t>KALMAR LÄN</t>
        </is>
      </c>
      <c r="G143" t="inlineStr">
        <is>
          <t>OSKARSHAMN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46312</v>
      </c>
      <c r="F144" t="inlineStr">
        <is>
          <t>KALMAR LÄN</t>
        </is>
      </c>
      <c r="G144" t="inlineStr">
        <is>
          <t>OSKARSHAMN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46312</v>
      </c>
      <c r="F145" t="inlineStr">
        <is>
          <t>KALMAR LÄN</t>
        </is>
      </c>
      <c r="G145" t="inlineStr">
        <is>
          <t>OSKARSHAMN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45754</v>
      </c>
      <c r="E146" s="1" t="n">
        <v>46312</v>
      </c>
      <c r="F146" t="inlineStr">
        <is>
          <t>KALMAR LÄN</t>
        </is>
      </c>
      <c r="G146" t="inlineStr">
        <is>
          <t>OSKARSHAMN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46312</v>
      </c>
      <c r="F147" t="inlineStr">
        <is>
          <t>KALMAR LÄN</t>
        </is>
      </c>
      <c r="G147" t="inlineStr">
        <is>
          <t>OSKARSHAMN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46312</v>
      </c>
      <c r="F148" t="inlineStr">
        <is>
          <t>KALMAR LÄN</t>
        </is>
      </c>
      <c r="G148" t="inlineStr">
        <is>
          <t>OSKARSHAMN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45204</v>
      </c>
      <c r="E149" s="1" t="n">
        <v>46312</v>
      </c>
      <c r="F149" t="inlineStr">
        <is>
          <t>KALMAR LÄN</t>
        </is>
      </c>
      <c r="G149" t="inlineStr">
        <is>
          <t>OSKARSHAMN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46312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46312</v>
      </c>
      <c r="F151" t="inlineStr">
        <is>
          <t>KALMAR LÄN</t>
        </is>
      </c>
      <c r="G151" t="inlineStr">
        <is>
          <t>OSKARSHAMN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45207</v>
      </c>
      <c r="E152" s="1" t="n">
        <v>46312</v>
      </c>
      <c r="F152" t="inlineStr">
        <is>
          <t>KALMAR LÄN</t>
        </is>
      </c>
      <c r="G152" t="inlineStr">
        <is>
          <t>OSKARSHAMN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46312</v>
      </c>
      <c r="F153" t="inlineStr">
        <is>
          <t>KALMAR LÄN</t>
        </is>
      </c>
      <c r="G153" t="inlineStr">
        <is>
          <t>OSKARSHAMN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45610</v>
      </c>
      <c r="E154" s="1" t="n">
        <v>46312</v>
      </c>
      <c r="F154" t="inlineStr">
        <is>
          <t>KALMAR LÄN</t>
        </is>
      </c>
      <c r="G154" t="inlineStr">
        <is>
          <t>OSKARSHAMN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46312</v>
      </c>
      <c r="F155" t="inlineStr">
        <is>
          <t>KALMAR LÄN</t>
        </is>
      </c>
      <c r="G155" t="inlineStr">
        <is>
          <t>OSKARSHAMN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45314</v>
      </c>
      <c r="E156" s="1" t="n">
        <v>46312</v>
      </c>
      <c r="F156" t="inlineStr">
        <is>
          <t>KALMAR LÄN</t>
        </is>
      </c>
      <c r="G156" t="inlineStr">
        <is>
          <t>OSKARSHAMN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46312</v>
      </c>
      <c r="F157" t="inlineStr">
        <is>
          <t>KALMAR LÄN</t>
        </is>
      </c>
      <c r="G157" t="inlineStr">
        <is>
          <t>OSKARSHAMN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46312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15754-2022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44663</v>
      </c>
      <c r="E159" s="1" t="n">
        <v>46312</v>
      </c>
      <c r="F159" t="inlineStr">
        <is>
          <t>KALMAR LÄN</t>
        </is>
      </c>
      <c r="G159" t="inlineStr">
        <is>
          <t>OSKARSHAMN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45223</v>
      </c>
      <c r="E160" s="1" t="n">
        <v>46312</v>
      </c>
      <c r="F160" t="inlineStr">
        <is>
          <t>KALMAR LÄN</t>
        </is>
      </c>
      <c r="G160" t="inlineStr">
        <is>
          <t>OSKARSHAMN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46312</v>
      </c>
      <c r="F161" t="inlineStr">
        <is>
          <t>KALMAR LÄN</t>
        </is>
      </c>
      <c r="G161" t="inlineStr">
        <is>
          <t>OSKARSHAMN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46312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45323</v>
      </c>
      <c r="E163" s="1" t="n">
        <v>46312</v>
      </c>
      <c r="F163" t="inlineStr">
        <is>
          <t>KALMAR LÄN</t>
        </is>
      </c>
      <c r="G163" t="inlineStr">
        <is>
          <t>OSKARSHAMN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46312</v>
      </c>
      <c r="F164" t="inlineStr">
        <is>
          <t>KALMAR LÄN</t>
        </is>
      </c>
      <c r="G164" t="inlineStr">
        <is>
          <t>OSKARSHAMN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46312</v>
      </c>
      <c r="F165" t="inlineStr">
        <is>
          <t>KALMAR LÄN</t>
        </is>
      </c>
      <c r="G165" t="inlineStr">
        <is>
          <t>OSKARSHAMN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46312</v>
      </c>
      <c r="F166" t="inlineStr">
        <is>
          <t>KALMAR LÄN</t>
        </is>
      </c>
      <c r="G166" t="inlineStr">
        <is>
          <t>OSKARSHAMN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46312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46312</v>
      </c>
      <c r="F168" t="inlineStr">
        <is>
          <t>KALMAR LÄN</t>
        </is>
      </c>
      <c r="G168" t="inlineStr">
        <is>
          <t>OSKARSHAMN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46312</v>
      </c>
      <c r="F169" t="inlineStr">
        <is>
          <t>KALMAR LÄN</t>
        </is>
      </c>
      <c r="G169" t="inlineStr">
        <is>
          <t>OSKARSHAMN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46312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46312</v>
      </c>
      <c r="F171" t="inlineStr">
        <is>
          <t>KALMAR LÄN</t>
        </is>
      </c>
      <c r="G171" t="inlineStr">
        <is>
          <t>OSKARSHAMN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45021</v>
      </c>
      <c r="E172" s="1" t="n">
        <v>46312</v>
      </c>
      <c r="F172" t="inlineStr">
        <is>
          <t>KALMAR LÄN</t>
        </is>
      </c>
      <c r="G172" t="inlineStr">
        <is>
          <t>OSKARSHAMN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46312</v>
      </c>
      <c r="F173" t="inlineStr">
        <is>
          <t>KALMAR LÄN</t>
        </is>
      </c>
      <c r="G173" t="inlineStr">
        <is>
          <t>OSKARSHAMN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46312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46312</v>
      </c>
      <c r="F175" t="inlineStr">
        <is>
          <t>KALMAR LÄN</t>
        </is>
      </c>
      <c r="G175" t="inlineStr">
        <is>
          <t>OSKARSHAMN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46312</v>
      </c>
      <c r="F176" t="inlineStr">
        <is>
          <t>KALMAR LÄN</t>
        </is>
      </c>
      <c r="G176" t="inlineStr">
        <is>
          <t>OSKARSHAMN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46312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44818</v>
      </c>
      <c r="E178" s="1" t="n">
        <v>46312</v>
      </c>
      <c r="F178" t="inlineStr">
        <is>
          <t>KALMAR LÄN</t>
        </is>
      </c>
      <c r="G178" t="inlineStr">
        <is>
          <t>OSKARSHAMN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46312</v>
      </c>
      <c r="F179" t="inlineStr">
        <is>
          <t>KALMAR LÄN</t>
        </is>
      </c>
      <c r="G179" t="inlineStr">
        <is>
          <t>OSKARSHAMN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46312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46312</v>
      </c>
      <c r="F181" t="inlineStr">
        <is>
          <t>KALMAR LÄN</t>
        </is>
      </c>
      <c r="G181" t="inlineStr">
        <is>
          <t>OSKARSHAMN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46312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46312</v>
      </c>
      <c r="F183" t="inlineStr">
        <is>
          <t>KALMAR LÄN</t>
        </is>
      </c>
      <c r="G183" t="inlineStr">
        <is>
          <t>OSKARSHAMN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46312</v>
      </c>
      <c r="F184" t="inlineStr">
        <is>
          <t>KALMAR LÄN</t>
        </is>
      </c>
      <c r="G184" t="inlineStr">
        <is>
          <t>OSKARSHAMN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46312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46312</v>
      </c>
      <c r="F186" t="inlineStr">
        <is>
          <t>KALMAR LÄN</t>
        </is>
      </c>
      <c r="G186" t="inlineStr">
        <is>
          <t>OSKARSHAMN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46312</v>
      </c>
      <c r="F187" t="inlineStr">
        <is>
          <t>KALMAR LÄN</t>
        </is>
      </c>
      <c r="G187" t="inlineStr">
        <is>
          <t>OSKARSHAMN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46312</v>
      </c>
      <c r="F188" t="inlineStr">
        <is>
          <t>KALMAR LÄN</t>
        </is>
      </c>
      <c r="G188" t="inlineStr">
        <is>
          <t>OSKARSHAMN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45007</v>
      </c>
      <c r="E189" s="1" t="n">
        <v>46312</v>
      </c>
      <c r="F189" t="inlineStr">
        <is>
          <t>KALMAR LÄN</t>
        </is>
      </c>
      <c r="G189" t="inlineStr">
        <is>
          <t>OSKARSHAMN</t>
        </is>
      </c>
      <c r="H189" t="inlineStr">
        <is>
          <t>Övriga Aktiebolag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46312</v>
      </c>
      <c r="F190" t="inlineStr">
        <is>
          <t>KALMAR LÄN</t>
        </is>
      </c>
      <c r="G190" t="inlineStr">
        <is>
          <t>OSKARSHAMN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46312</v>
      </c>
      <c r="F191" t="inlineStr">
        <is>
          <t>KALMAR LÄN</t>
        </is>
      </c>
      <c r="G191" t="inlineStr">
        <is>
          <t>OSKARSHAMN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44836</v>
      </c>
      <c r="E192" s="1" t="n">
        <v>46312</v>
      </c>
      <c r="F192" t="inlineStr">
        <is>
          <t>KALMAR LÄN</t>
        </is>
      </c>
      <c r="G192" t="inlineStr">
        <is>
          <t>OSKARSHAMN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46312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46312</v>
      </c>
      <c r="F194" t="inlineStr">
        <is>
          <t>KALMAR LÄN</t>
        </is>
      </c>
      <c r="G194" t="inlineStr">
        <is>
          <t>OSKARSHAMN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46312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46312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44963</v>
      </c>
      <c r="E197" s="1" t="n">
        <v>46312</v>
      </c>
      <c r="F197" t="inlineStr">
        <is>
          <t>KALMAR LÄN</t>
        </is>
      </c>
      <c r="G197" t="inlineStr">
        <is>
          <t>OSKARSHAMN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45968</v>
      </c>
      <c r="E198" s="1" t="n">
        <v>46312</v>
      </c>
      <c r="F198" t="inlineStr">
        <is>
          <t>KALMAR LÄN</t>
        </is>
      </c>
      <c r="G198" t="inlineStr">
        <is>
          <t>OSKARSHAMN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46312</v>
      </c>
      <c r="F199" t="inlineStr">
        <is>
          <t>KALMAR LÄN</t>
        </is>
      </c>
      <c r="G199" t="inlineStr">
        <is>
          <t>OSKARSHAMN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46312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44963</v>
      </c>
      <c r="E201" s="1" t="n">
        <v>46312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44970</v>
      </c>
      <c r="E202" s="1" t="n">
        <v>46312</v>
      </c>
      <c r="F202" t="inlineStr">
        <is>
          <t>KALMAR LÄN</t>
        </is>
      </c>
      <c r="G202" t="inlineStr">
        <is>
          <t>OSKARSHAMN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46312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46312</v>
      </c>
      <c r="F204" t="inlineStr">
        <is>
          <t>KALMAR LÄN</t>
        </is>
      </c>
      <c r="G204" t="inlineStr">
        <is>
          <t>OSKARSHAMN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46312</v>
      </c>
      <c r="F205" t="inlineStr">
        <is>
          <t>KALMAR LÄN</t>
        </is>
      </c>
      <c r="G205" t="inlineStr">
        <is>
          <t>OSKARSHAMN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45530</v>
      </c>
      <c r="E206" s="1" t="n">
        <v>46312</v>
      </c>
      <c r="F206" t="inlineStr">
        <is>
          <t>KALMAR LÄN</t>
        </is>
      </c>
      <c r="G206" t="inlineStr">
        <is>
          <t>OSKARSHAMN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46312</v>
      </c>
      <c r="F207" t="inlineStr">
        <is>
          <t>KALMAR LÄN</t>
        </is>
      </c>
      <c r="G207" t="inlineStr">
        <is>
          <t>OSKARSHAMN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46312</v>
      </c>
      <c r="F208" t="inlineStr">
        <is>
          <t>KALMAR LÄN</t>
        </is>
      </c>
      <c r="G208" t="inlineStr">
        <is>
          <t>OSKARSHAMN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46312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46312</v>
      </c>
      <c r="F210" t="inlineStr">
        <is>
          <t>KALMAR LÄN</t>
        </is>
      </c>
      <c r="G210" t="inlineStr">
        <is>
          <t>OSKARSHAMN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45022</v>
      </c>
      <c r="E211" s="1" t="n">
        <v>46312</v>
      </c>
      <c r="F211" t="inlineStr">
        <is>
          <t>KALMAR LÄN</t>
        </is>
      </c>
      <c r="G211" t="inlineStr">
        <is>
          <t>OSKARSHAMN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46312</v>
      </c>
      <c r="F212" t="inlineStr">
        <is>
          <t>KALMAR LÄN</t>
        </is>
      </c>
      <c r="G212" t="inlineStr">
        <is>
          <t>OSKARSHAMN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46312</v>
      </c>
      <c r="F213" t="inlineStr">
        <is>
          <t>KALMAR LÄN</t>
        </is>
      </c>
      <c r="G213" t="inlineStr">
        <is>
          <t>OSKARSHAMN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46312</v>
      </c>
      <c r="F214" t="inlineStr">
        <is>
          <t>KALMAR LÄN</t>
        </is>
      </c>
      <c r="G214" t="inlineStr">
        <is>
          <t>OSKARSHAMN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20758-2026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46141</v>
      </c>
      <c r="E215" s="1" t="n">
        <v>46312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46312</v>
      </c>
      <c r="F216" t="inlineStr">
        <is>
          <t>KALMAR LÄN</t>
        </is>
      </c>
      <c r="G216" t="inlineStr">
        <is>
          <t>OSKARSHAMN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46312</v>
      </c>
      <c r="F217" t="inlineStr">
        <is>
          <t>KALMAR LÄN</t>
        </is>
      </c>
      <c r="G217" t="inlineStr">
        <is>
          <t>OSKARSHAMN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46312</v>
      </c>
      <c r="F218" t="inlineStr">
        <is>
          <t>KALMAR LÄN</t>
        </is>
      </c>
      <c r="G218" t="inlineStr">
        <is>
          <t>OSKARSHAMN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46312</v>
      </c>
      <c r="F219" t="inlineStr">
        <is>
          <t>KALMAR LÄN</t>
        </is>
      </c>
      <c r="G219" t="inlineStr">
        <is>
          <t>OSKARSHAMN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46312</v>
      </c>
      <c r="F220" t="inlineStr">
        <is>
          <t>KALMAR LÄN</t>
        </is>
      </c>
      <c r="G220" t="inlineStr">
        <is>
          <t>OSKARSHAMN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42693-2025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45908</v>
      </c>
      <c r="E221" s="1" t="n">
        <v>46312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46312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42751-2025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45908</v>
      </c>
      <c r="E223" s="1" t="n">
        <v>46312</v>
      </c>
      <c r="F223" t="inlineStr">
        <is>
          <t>KALMAR LÄN</t>
        </is>
      </c>
      <c r="G223" t="inlineStr">
        <is>
          <t>OSKARSHAMN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46312</v>
      </c>
      <c r="F224" t="inlineStr">
        <is>
          <t>KALMAR LÄN</t>
        </is>
      </c>
      <c r="G224" t="inlineStr">
        <is>
          <t>OSKARSHAMN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48000-2024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45589</v>
      </c>
      <c r="E225" s="1" t="n">
        <v>46312</v>
      </c>
      <c r="F225" t="inlineStr">
        <is>
          <t>KALMAR LÄN</t>
        </is>
      </c>
      <c r="G225" t="inlineStr">
        <is>
          <t>OSKARSHAMN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46312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64475-2023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46312</v>
      </c>
      <c r="F227" t="inlineStr">
        <is>
          <t>KALMAR LÄN</t>
        </is>
      </c>
      <c r="G227" t="inlineStr">
        <is>
          <t>OSKARSHAMN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46312</v>
      </c>
      <c r="F228" t="inlineStr">
        <is>
          <t>KALMAR LÄN</t>
        </is>
      </c>
      <c r="G228" t="inlineStr">
        <is>
          <t>OSKARSHAMN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46147</v>
      </c>
      <c r="E229" s="1" t="n">
        <v>46312</v>
      </c>
      <c r="F229" t="inlineStr">
        <is>
          <t>KALMAR LÄN</t>
        </is>
      </c>
      <c r="G229" t="inlineStr">
        <is>
          <t>OSKARSHAMN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58401-2021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44488</v>
      </c>
      <c r="E230" s="1" t="n">
        <v>46312</v>
      </c>
      <c r="F230" t="inlineStr">
        <is>
          <t>KALMAR LÄN</t>
        </is>
      </c>
      <c r="G230" t="inlineStr">
        <is>
          <t>OSKARSHAMN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46312</v>
      </c>
      <c r="F231" t="inlineStr">
        <is>
          <t>KALMAR LÄN</t>
        </is>
      </c>
      <c r="G231" t="inlineStr">
        <is>
          <t>OSKARSHAMN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46312</v>
      </c>
      <c r="F232" t="inlineStr">
        <is>
          <t>KALMAR LÄN</t>
        </is>
      </c>
      <c r="G232" t="inlineStr">
        <is>
          <t>OSKARSHAMN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46147</v>
      </c>
      <c r="E233" s="1" t="n">
        <v>46312</v>
      </c>
      <c r="F233" t="inlineStr">
        <is>
          <t>KALMAR LÄN</t>
        </is>
      </c>
      <c r="G233" t="inlineStr">
        <is>
          <t>OSKARSHAMN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46312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46312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46312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46312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46312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46312</v>
      </c>
      <c r="F239" t="inlineStr">
        <is>
          <t>KALMAR LÄN</t>
        </is>
      </c>
      <c r="G239" t="inlineStr">
        <is>
          <t>OSKARSHAMN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46312</v>
      </c>
      <c r="F240" t="inlineStr">
        <is>
          <t>KALMAR LÄN</t>
        </is>
      </c>
      <c r="G240" t="inlineStr">
        <is>
          <t>OSKARSHAMN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46312</v>
      </c>
      <c r="F241" t="inlineStr">
        <is>
          <t>KALMAR LÄN</t>
        </is>
      </c>
      <c r="G241" t="inlineStr">
        <is>
          <t>OSKARSHAMN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46312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46312</v>
      </c>
      <c r="F243" t="inlineStr">
        <is>
          <t>KALMAR LÄN</t>
        </is>
      </c>
      <c r="G243" t="inlineStr">
        <is>
          <t>OSKARSHAMN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46312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46312</v>
      </c>
      <c r="F245" t="inlineStr">
        <is>
          <t>KALMAR LÄN</t>
        </is>
      </c>
      <c r="G245" t="inlineStr">
        <is>
          <t>OSKARSHAMN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46312</v>
      </c>
      <c r="F246" t="inlineStr">
        <is>
          <t>KALMAR LÄN</t>
        </is>
      </c>
      <c r="G246" t="inlineStr">
        <is>
          <t>OSKARSHAMN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46312</v>
      </c>
      <c r="F247" t="inlineStr">
        <is>
          <t>KALMAR LÄN</t>
        </is>
      </c>
      <c r="G247" t="inlineStr">
        <is>
          <t>OSKARSHAMN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46312</v>
      </c>
      <c r="F248" t="inlineStr">
        <is>
          <t>KALMAR LÄN</t>
        </is>
      </c>
      <c r="G248" t="inlineStr">
        <is>
          <t>OSKARSHAMN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46312</v>
      </c>
      <c r="F249" t="inlineStr">
        <is>
          <t>KALMAR LÄN</t>
        </is>
      </c>
      <c r="G249" t="inlineStr">
        <is>
          <t>OSKARSHAMN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46312</v>
      </c>
      <c r="F250" t="inlineStr">
        <is>
          <t>KALMAR LÄN</t>
        </is>
      </c>
      <c r="G250" t="inlineStr">
        <is>
          <t>OSKARSHAMN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46312</v>
      </c>
      <c r="F251" t="inlineStr">
        <is>
          <t>KALMAR LÄN</t>
        </is>
      </c>
      <c r="G251" t="inlineStr">
        <is>
          <t>OSKARSHAMN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46312</v>
      </c>
      <c r="F252" t="inlineStr">
        <is>
          <t>KALMAR LÄN</t>
        </is>
      </c>
      <c r="G252" t="inlineStr">
        <is>
          <t>OSKARSHAMN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46312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46312</v>
      </c>
      <c r="F254" t="inlineStr">
        <is>
          <t>KALMAR LÄN</t>
        </is>
      </c>
      <c r="G254" t="inlineStr">
        <is>
          <t>OSKARSHAMN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46312</v>
      </c>
      <c r="F255" t="inlineStr">
        <is>
          <t>KALMAR LÄN</t>
        </is>
      </c>
      <c r="G255" t="inlineStr">
        <is>
          <t>OSKARSHAMN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8499-2023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44977</v>
      </c>
      <c r="E256" s="1" t="n">
        <v>46312</v>
      </c>
      <c r="F256" t="inlineStr">
        <is>
          <t>KALMAR LÄN</t>
        </is>
      </c>
      <c r="G256" t="inlineStr">
        <is>
          <t>OSKARSHAMN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46312</v>
      </c>
      <c r="F257" t="inlineStr">
        <is>
          <t>KALMAR LÄN</t>
        </is>
      </c>
      <c r="G257" t="inlineStr">
        <is>
          <t>OSKARSHAMN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46312</v>
      </c>
      <c r="F258" t="inlineStr">
        <is>
          <t>KALMAR LÄN</t>
        </is>
      </c>
      <c r="G258" t="inlineStr">
        <is>
          <t>OSKARSHAMN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46312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8656-2022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44613</v>
      </c>
      <c r="E260" s="1" t="n">
        <v>46312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71340-2021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46312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46312</v>
      </c>
      <c r="F262" t="inlineStr">
        <is>
          <t>KALMAR LÄN</t>
        </is>
      </c>
      <c r="G262" t="inlineStr">
        <is>
          <t>OSKARSHAMN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46312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46312</v>
      </c>
      <c r="F264" t="inlineStr">
        <is>
          <t>KALMAR LÄN</t>
        </is>
      </c>
      <c r="G264" t="inlineStr">
        <is>
          <t>OSKARSHAMN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46312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46312</v>
      </c>
      <c r="F266" t="inlineStr">
        <is>
          <t>KALMAR LÄN</t>
        </is>
      </c>
      <c r="G266" t="inlineStr">
        <is>
          <t>OSKARSHAMN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46312</v>
      </c>
      <c r="F267" t="inlineStr">
        <is>
          <t>KALMAR LÄN</t>
        </is>
      </c>
      <c r="G267" t="inlineStr">
        <is>
          <t>OSKARSHAMN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46312</v>
      </c>
      <c r="F268" t="inlineStr">
        <is>
          <t>KALMAR LÄN</t>
        </is>
      </c>
      <c r="G268" t="inlineStr">
        <is>
          <t>OSKARSHAMN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46312</v>
      </c>
      <c r="F269" t="inlineStr">
        <is>
          <t>KALMAR LÄN</t>
        </is>
      </c>
      <c r="G269" t="inlineStr">
        <is>
          <t>OSKARSHAMN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46312</v>
      </c>
      <c r="F270" t="inlineStr">
        <is>
          <t>KALMAR LÄN</t>
        </is>
      </c>
      <c r="G270" t="inlineStr">
        <is>
          <t>OSKARSHAMN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45580</v>
      </c>
      <c r="E271" s="1" t="n">
        <v>46312</v>
      </c>
      <c r="F271" t="inlineStr">
        <is>
          <t>KALMAR LÄN</t>
        </is>
      </c>
      <c r="G271" t="inlineStr">
        <is>
          <t>OSKARSHAMN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45041</v>
      </c>
      <c r="E272" s="1" t="n">
        <v>46312</v>
      </c>
      <c r="F272" t="inlineStr">
        <is>
          <t>KALMAR LÄN</t>
        </is>
      </c>
      <c r="G272" t="inlineStr">
        <is>
          <t>OSKARSHAMN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46312</v>
      </c>
      <c r="F273" t="inlineStr">
        <is>
          <t>KALMAR LÄN</t>
        </is>
      </c>
      <c r="G273" t="inlineStr">
        <is>
          <t>OSKARSHAMN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44621</v>
      </c>
      <c r="E274" s="1" t="n">
        <v>46312</v>
      </c>
      <c r="F274" t="inlineStr">
        <is>
          <t>KALMAR LÄN</t>
        </is>
      </c>
      <c r="G274" t="inlineStr">
        <is>
          <t>OSKARSHAMN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46312</v>
      </c>
      <c r="F275" t="inlineStr">
        <is>
          <t>KALMAR LÄN</t>
        </is>
      </c>
      <c r="G275" t="inlineStr">
        <is>
          <t>OSKARSHAMN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46312</v>
      </c>
      <c r="F276" t="inlineStr">
        <is>
          <t>KALMAR LÄN</t>
        </is>
      </c>
      <c r="G276" t="inlineStr">
        <is>
          <t>OSKARSHAMN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46312</v>
      </c>
      <c r="F277" t="inlineStr">
        <is>
          <t>KALMAR LÄN</t>
        </is>
      </c>
      <c r="G277" t="inlineStr">
        <is>
          <t>OSKARSHAMN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22801-2024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45448</v>
      </c>
      <c r="E278" s="1" t="n">
        <v>46312</v>
      </c>
      <c r="F278" t="inlineStr">
        <is>
          <t>KALMAR LÄN</t>
        </is>
      </c>
      <c r="G278" t="inlineStr">
        <is>
          <t>OSKARSHAMN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46312</v>
      </c>
      <c r="F279" t="inlineStr">
        <is>
          <t>KALMAR LÄN</t>
        </is>
      </c>
      <c r="G279" t="inlineStr">
        <is>
          <t>OSKARSHAMN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46312</v>
      </c>
      <c r="F280" t="inlineStr">
        <is>
          <t>KALMAR LÄN</t>
        </is>
      </c>
      <c r="G280" t="inlineStr">
        <is>
          <t>OSKARSHAMN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72819-2021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46312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46312</v>
      </c>
      <c r="F282" t="inlineStr">
        <is>
          <t>KALMAR LÄN</t>
        </is>
      </c>
      <c r="G282" t="inlineStr">
        <is>
          <t>OSKARSHAMN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46312</v>
      </c>
      <c r="F283" t="inlineStr">
        <is>
          <t>KALMAR LÄN</t>
        </is>
      </c>
      <c r="G283" t="inlineStr">
        <is>
          <t>OSKARSHAMN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47946-2023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46312</v>
      </c>
      <c r="F284" t="inlineStr">
        <is>
          <t>KALMAR LÄN</t>
        </is>
      </c>
      <c r="G284" t="inlineStr">
        <is>
          <t>OSKARSHAMN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44987</v>
      </c>
      <c r="E285" s="1" t="n">
        <v>46312</v>
      </c>
      <c r="F285" t="inlineStr">
        <is>
          <t>KALMAR LÄN</t>
        </is>
      </c>
      <c r="G285" t="inlineStr">
        <is>
          <t>OSKARSHAMN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44865</v>
      </c>
      <c r="E286" s="1" t="n">
        <v>46312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46312</v>
      </c>
      <c r="F287" t="inlineStr">
        <is>
          <t>KALMAR LÄN</t>
        </is>
      </c>
      <c r="G287" t="inlineStr">
        <is>
          <t>OSKARSHAMN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46312</v>
      </c>
      <c r="F288" t="inlineStr">
        <is>
          <t>KALMAR LÄN</t>
        </is>
      </c>
      <c r="G288" t="inlineStr">
        <is>
          <t>OSKARSHAMN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46312</v>
      </c>
      <c r="F289" t="inlineStr">
        <is>
          <t>KALMAR LÄN</t>
        </is>
      </c>
      <c r="G289" t="inlineStr">
        <is>
          <t>OSKARSHAMN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46312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46312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46312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46312</v>
      </c>
      <c r="F293" t="inlineStr">
        <is>
          <t>KALMAR LÄN</t>
        </is>
      </c>
      <c r="G293" t="inlineStr">
        <is>
          <t>OSKARSHAMN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46312</v>
      </c>
      <c r="F294" t="inlineStr">
        <is>
          <t>KALMAR LÄN</t>
        </is>
      </c>
      <c r="G294" t="inlineStr">
        <is>
          <t>OSKARSHAMN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46312</v>
      </c>
      <c r="F295" t="inlineStr">
        <is>
          <t>KALMAR LÄN</t>
        </is>
      </c>
      <c r="G295" t="inlineStr">
        <is>
          <t>OSKARSHAMN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46312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44621</v>
      </c>
      <c r="E297" s="1" t="n">
        <v>46312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46312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46312</v>
      </c>
      <c r="F299" t="inlineStr">
        <is>
          <t>KALMAR LÄN</t>
        </is>
      </c>
      <c r="G299" t="inlineStr">
        <is>
          <t>OSKARSHAMN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46312</v>
      </c>
      <c r="F300" t="inlineStr">
        <is>
          <t>KALMAR LÄN</t>
        </is>
      </c>
      <c r="G300" t="inlineStr">
        <is>
          <t>OSKARSHAMN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46312</v>
      </c>
      <c r="F301" t="inlineStr">
        <is>
          <t>KALMAR LÄN</t>
        </is>
      </c>
      <c r="G301" t="inlineStr">
        <is>
          <t>OSKARSHAMN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46312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46312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46312</v>
      </c>
      <c r="F304" t="inlineStr">
        <is>
          <t>KALMAR LÄN</t>
        </is>
      </c>
      <c r="G304" t="inlineStr">
        <is>
          <t>OSKARSHAMN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44981</v>
      </c>
      <c r="E305" s="1" t="n">
        <v>46312</v>
      </c>
      <c r="F305" t="inlineStr">
        <is>
          <t>KALMAR LÄN</t>
        </is>
      </c>
      <c r="G305" t="inlineStr">
        <is>
          <t>OSKARSHAMN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46312</v>
      </c>
      <c r="F306" t="inlineStr">
        <is>
          <t>KALMAR LÄN</t>
        </is>
      </c>
      <c r="G306" t="inlineStr">
        <is>
          <t>OSKARSHAMN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46171</v>
      </c>
      <c r="E307" s="1" t="n">
        <v>46312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44980</v>
      </c>
      <c r="E308" s="1" t="n">
        <v>46312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46312</v>
      </c>
      <c r="F309" t="inlineStr">
        <is>
          <t>KALMAR LÄN</t>
        </is>
      </c>
      <c r="G309" t="inlineStr">
        <is>
          <t>OSKARSHAMN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46312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44995</v>
      </c>
      <c r="E311" s="1" t="n">
        <v>46312</v>
      </c>
      <c r="F311" t="inlineStr">
        <is>
          <t>KALMAR LÄN</t>
        </is>
      </c>
      <c r="G311" t="inlineStr">
        <is>
          <t>OSKARSHAMN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46312</v>
      </c>
      <c r="F312" t="inlineStr">
        <is>
          <t>KALMAR LÄN</t>
        </is>
      </c>
      <c r="G312" t="inlineStr">
        <is>
          <t>OSKARSHAMN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44630</v>
      </c>
      <c r="E313" s="1" t="n">
        <v>46312</v>
      </c>
      <c r="F313" t="inlineStr">
        <is>
          <t>KALMAR LÄN</t>
        </is>
      </c>
      <c r="G313" t="inlineStr">
        <is>
          <t>OSKARSHAMN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46312</v>
      </c>
      <c r="F314" t="inlineStr">
        <is>
          <t>KALMAR LÄN</t>
        </is>
      </c>
      <c r="G314" t="inlineStr">
        <is>
          <t>OSKARSHAMN</t>
        </is>
      </c>
      <c r="H314" t="inlineStr">
        <is>
          <t>Övriga Aktiebolag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4097-2024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45323</v>
      </c>
      <c r="E315" s="1" t="n">
        <v>46312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46312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46312</v>
      </c>
      <c r="F317" t="inlineStr">
        <is>
          <t>KALMAR LÄN</t>
        </is>
      </c>
      <c r="G317" t="inlineStr">
        <is>
          <t>OSKARSHAMN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46312</v>
      </c>
      <c r="F318" t="inlineStr">
        <is>
          <t>KALMAR LÄN</t>
        </is>
      </c>
      <c r="G318" t="inlineStr">
        <is>
          <t>OSKARSHAMN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45092</v>
      </c>
      <c r="E319" s="1" t="n">
        <v>46312</v>
      </c>
      <c r="F319" t="inlineStr">
        <is>
          <t>KALMAR LÄN</t>
        </is>
      </c>
      <c r="G319" t="inlineStr">
        <is>
          <t>OSKARSHAMN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46312</v>
      </c>
      <c r="F320" t="inlineStr">
        <is>
          <t>KALMAR LÄN</t>
        </is>
      </c>
      <c r="G320" t="inlineStr">
        <is>
          <t>OSKARSHAMN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45012</v>
      </c>
      <c r="E321" s="1" t="n">
        <v>46312</v>
      </c>
      <c r="F321" t="inlineStr">
        <is>
          <t>KALMAR LÄN</t>
        </is>
      </c>
      <c r="G321" t="inlineStr">
        <is>
          <t>OSKARSHAMN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45369</v>
      </c>
      <c r="E322" s="1" t="n">
        <v>46312</v>
      </c>
      <c r="F322" t="inlineStr">
        <is>
          <t>KALMAR LÄN</t>
        </is>
      </c>
      <c r="G322" t="inlineStr">
        <is>
          <t>OSKARSHAMN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46312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40255-2022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44820</v>
      </c>
      <c r="E324" s="1" t="n">
        <v>46312</v>
      </c>
      <c r="F324" t="inlineStr">
        <is>
          <t>KALMAR LÄN</t>
        </is>
      </c>
      <c r="G324" t="inlineStr">
        <is>
          <t>OSKARSHAMN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46312</v>
      </c>
      <c r="F325" t="inlineStr">
        <is>
          <t>KALMAR LÄN</t>
        </is>
      </c>
      <c r="G325" t="inlineStr">
        <is>
          <t>OSKARSHAMN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46312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46312</v>
      </c>
      <c r="F327" t="inlineStr">
        <is>
          <t>KALMAR LÄN</t>
        </is>
      </c>
      <c r="G327" t="inlineStr">
        <is>
          <t>OSKARSHAMN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46312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61318-2022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44915</v>
      </c>
      <c r="E329" s="1" t="n">
        <v>46312</v>
      </c>
      <c r="F329" t="inlineStr">
        <is>
          <t>KALMAR LÄN</t>
        </is>
      </c>
      <c r="G329" t="inlineStr">
        <is>
          <t>OSKARSHAMN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46312</v>
      </c>
      <c r="F330" t="inlineStr">
        <is>
          <t>KALMAR LÄN</t>
        </is>
      </c>
      <c r="G330" t="inlineStr">
        <is>
          <t>OSKARSHAMN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46312</v>
      </c>
      <c r="F331" t="inlineStr">
        <is>
          <t>KALMAR LÄN</t>
        </is>
      </c>
      <c r="G331" t="inlineStr">
        <is>
          <t>OSKARSHAMN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46312</v>
      </c>
      <c r="F332" t="inlineStr">
        <is>
          <t>KALMAR LÄN</t>
        </is>
      </c>
      <c r="G332" t="inlineStr">
        <is>
          <t>OSKARSHAMN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46312</v>
      </c>
      <c r="F333" t="inlineStr">
        <is>
          <t>KALMAR LÄN</t>
        </is>
      </c>
      <c r="G333" t="inlineStr">
        <is>
          <t>OSKARSHAMN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46312</v>
      </c>
      <c r="F334" t="inlineStr">
        <is>
          <t>KALMAR LÄN</t>
        </is>
      </c>
      <c r="G334" t="inlineStr">
        <is>
          <t>OSKARSHAMN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46312</v>
      </c>
      <c r="F335" t="inlineStr">
        <is>
          <t>KALMAR LÄN</t>
        </is>
      </c>
      <c r="G335" t="inlineStr">
        <is>
          <t>OSKARSHAMN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46312</v>
      </c>
      <c r="F336" t="inlineStr">
        <is>
          <t>KALMAR LÄN</t>
        </is>
      </c>
      <c r="G336" t="inlineStr">
        <is>
          <t>OSKARSHAMN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46312</v>
      </c>
      <c r="F337" t="inlineStr">
        <is>
          <t>KALMAR LÄN</t>
        </is>
      </c>
      <c r="G337" t="inlineStr">
        <is>
          <t>OSKARSHAMN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45369</v>
      </c>
      <c r="E338" s="1" t="n">
        <v>46312</v>
      </c>
      <c r="F338" t="inlineStr">
        <is>
          <t>KALMAR LÄN</t>
        </is>
      </c>
      <c r="G338" t="inlineStr">
        <is>
          <t>OSKARSHAMN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46312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46312</v>
      </c>
      <c r="F340" t="inlineStr">
        <is>
          <t>KALMAR LÄN</t>
        </is>
      </c>
      <c r="G340" t="inlineStr">
        <is>
          <t>OSKARSHAMN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46312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46312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46312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46312</v>
      </c>
      <c r="F344" t="inlineStr">
        <is>
          <t>KALMAR LÄN</t>
        </is>
      </c>
      <c r="G344" t="inlineStr">
        <is>
          <t>OSKARSHAMN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73404-2021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44551</v>
      </c>
      <c r="E345" s="1" t="n">
        <v>46312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46312</v>
      </c>
      <c r="F346" t="inlineStr">
        <is>
          <t>KALMAR LÄN</t>
        </is>
      </c>
      <c r="G346" t="inlineStr">
        <is>
          <t>OSKARSHAMN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46312</v>
      </c>
      <c r="F347" t="inlineStr">
        <is>
          <t>KALMAR LÄN</t>
        </is>
      </c>
      <c r="G347" t="inlineStr">
        <is>
          <t>OSKARSHAMN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62995-2025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46009</v>
      </c>
      <c r="E348" s="1" t="n">
        <v>46312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46312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63711-2021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44505</v>
      </c>
      <c r="E350" s="1" t="n">
        <v>46312</v>
      </c>
      <c r="F350" t="inlineStr">
        <is>
          <t>KALMAR LÄN</t>
        </is>
      </c>
      <c r="G350" t="inlineStr">
        <is>
          <t>OSKARSHAMN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46312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46312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72786-2021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44547</v>
      </c>
      <c r="E353" s="1" t="n">
        <v>46312</v>
      </c>
      <c r="F353" t="inlineStr">
        <is>
          <t>KALMAR LÄN</t>
        </is>
      </c>
      <c r="G353" t="inlineStr">
        <is>
          <t>OSKARSHAMN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45406</v>
      </c>
      <c r="E354" s="1" t="n">
        <v>46312</v>
      </c>
      <c r="F354" t="inlineStr">
        <is>
          <t>KALMAR LÄN</t>
        </is>
      </c>
      <c r="G354" t="inlineStr">
        <is>
          <t>OSKARSHAMN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45407</v>
      </c>
      <c r="E355" s="1" t="n">
        <v>46312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46312</v>
      </c>
      <c r="F356" t="inlineStr">
        <is>
          <t>KALMAR LÄN</t>
        </is>
      </c>
      <c r="G356" t="inlineStr">
        <is>
          <t>OSKARSHAMN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45056</v>
      </c>
      <c r="E357" s="1" t="n">
        <v>46312</v>
      </c>
      <c r="F357" t="inlineStr">
        <is>
          <t>KALMAR LÄN</t>
        </is>
      </c>
      <c r="G357" t="inlineStr">
        <is>
          <t>OSKARSHAMN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46312</v>
      </c>
      <c r="F358" t="inlineStr">
        <is>
          <t>KALMAR LÄN</t>
        </is>
      </c>
      <c r="G358" t="inlineStr">
        <is>
          <t>OSKARSHAMN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46312</v>
      </c>
      <c r="F359" t="inlineStr">
        <is>
          <t>KALMAR LÄN</t>
        </is>
      </c>
      <c r="G359" t="inlineStr">
        <is>
          <t>OSKARSHAMN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46312</v>
      </c>
      <c r="F360" t="inlineStr">
        <is>
          <t>KALMAR LÄN</t>
        </is>
      </c>
      <c r="G360" t="inlineStr">
        <is>
          <t>OSKARSHAMN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45644</v>
      </c>
      <c r="E361" s="1" t="n">
        <v>46312</v>
      </c>
      <c r="F361" t="inlineStr">
        <is>
          <t>KALMAR LÄN</t>
        </is>
      </c>
      <c r="G361" t="inlineStr">
        <is>
          <t>OSKARSHAMN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46312</v>
      </c>
      <c r="F362" t="inlineStr">
        <is>
          <t>KALMAR LÄN</t>
        </is>
      </c>
      <c r="G362" t="inlineStr">
        <is>
          <t>OSKARSHAMN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46312</v>
      </c>
      <c r="F363" t="inlineStr">
        <is>
          <t>KALMAR LÄN</t>
        </is>
      </c>
      <c r="G363" t="inlineStr">
        <is>
          <t>OSKARSHAMN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46312</v>
      </c>
      <c r="F364" t="inlineStr">
        <is>
          <t>KALMAR LÄN</t>
        </is>
      </c>
      <c r="G364" t="inlineStr">
        <is>
          <t>OSKARSHAMN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46312</v>
      </c>
      <c r="F365" t="inlineStr">
        <is>
          <t>KALMAR LÄN</t>
        </is>
      </c>
      <c r="G365" t="inlineStr">
        <is>
          <t>OSKARSHAMN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44755</v>
      </c>
      <c r="E366" s="1" t="n">
        <v>46312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50572-2024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45601</v>
      </c>
      <c r="E367" s="1" t="n">
        <v>46312</v>
      </c>
      <c r="F367" t="inlineStr">
        <is>
          <t>KALMAR LÄN</t>
        </is>
      </c>
      <c r="G367" t="inlineStr">
        <is>
          <t>OSKARSHAMN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46312</v>
      </c>
      <c r="F368" t="inlineStr">
        <is>
          <t>KALMAR LÄN</t>
        </is>
      </c>
      <c r="G368" t="inlineStr">
        <is>
          <t>OSKARSHAMN</t>
        </is>
      </c>
      <c r="I368" t="n">
        <v>11.8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46312</v>
      </c>
      <c r="F369" t="inlineStr">
        <is>
          <t>KALMAR LÄN</t>
        </is>
      </c>
      <c r="G369" t="inlineStr">
        <is>
          <t>OSKARSHAMN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45687</v>
      </c>
      <c r="E370" s="1" t="n">
        <v>46312</v>
      </c>
      <c r="F370" t="inlineStr">
        <is>
          <t>KALMAR LÄN</t>
        </is>
      </c>
      <c r="G370" t="inlineStr">
        <is>
          <t>OSKARSHAMN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46312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53530-2022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46312</v>
      </c>
      <c r="F372" t="inlineStr">
        <is>
          <t>KALMAR LÄN</t>
        </is>
      </c>
      <c r="G372" t="inlineStr">
        <is>
          <t>OSKARSHAMN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45526</v>
      </c>
      <c r="E373" s="1" t="n">
        <v>46312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44951</v>
      </c>
      <c r="E374" s="1" t="n">
        <v>46312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61122-2022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44908</v>
      </c>
      <c r="E375" s="1" t="n">
        <v>46312</v>
      </c>
      <c r="F375" t="inlineStr">
        <is>
          <t>KALMAR LÄN</t>
        </is>
      </c>
      <c r="G375" t="inlineStr">
        <is>
          <t>OSKARSHAMN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46312</v>
      </c>
      <c r="F376" t="inlineStr">
        <is>
          <t>KALMAR LÄN</t>
        </is>
      </c>
      <c r="G376" t="inlineStr">
        <is>
          <t>OSKARSHAMN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46312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46195</v>
      </c>
      <c r="E378" s="1" t="n">
        <v>46312</v>
      </c>
      <c r="F378" t="inlineStr">
        <is>
          <t>KALMAR LÄN</t>
        </is>
      </c>
      <c r="G378" t="inlineStr">
        <is>
          <t>OSKARSHAMN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46312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46312</v>
      </c>
      <c r="F380" t="inlineStr">
        <is>
          <t>KALMAR LÄN</t>
        </is>
      </c>
      <c r="G380" t="inlineStr">
        <is>
          <t>OSKARSHAMN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46312</v>
      </c>
      <c r="F381" t="inlineStr">
        <is>
          <t>KALMAR LÄN</t>
        </is>
      </c>
      <c r="G381" t="inlineStr">
        <is>
          <t>OSKARSHAMN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46312</v>
      </c>
      <c r="F382" t="inlineStr">
        <is>
          <t>KALMAR LÄN</t>
        </is>
      </c>
      <c r="G382" t="inlineStr">
        <is>
          <t>OSKARSHAMN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45691</v>
      </c>
      <c r="E383" s="1" t="n">
        <v>46312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26132-2023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45091</v>
      </c>
      <c r="E384" s="1" t="n">
        <v>46312</v>
      </c>
      <c r="F384" t="inlineStr">
        <is>
          <t>KALMAR LÄN</t>
        </is>
      </c>
      <c r="G384" t="inlineStr">
        <is>
          <t>OSKARSHAMN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15525-2026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46106</v>
      </c>
      <c r="E385" s="1" t="n">
        <v>46312</v>
      </c>
      <c r="F385" t="inlineStr">
        <is>
          <t>KALMAR LÄN</t>
        </is>
      </c>
      <c r="G385" t="inlineStr">
        <is>
          <t>OSKARSHAMN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46312</v>
      </c>
      <c r="F386" t="inlineStr">
        <is>
          <t>KALMAR LÄN</t>
        </is>
      </c>
      <c r="G386" t="inlineStr">
        <is>
          <t>OSKARSHAMN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13204-2024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45386</v>
      </c>
      <c r="E387" s="1" t="n">
        <v>46312</v>
      </c>
      <c r="F387" t="inlineStr">
        <is>
          <t>KALMAR LÄN</t>
        </is>
      </c>
      <c r="G387" t="inlineStr">
        <is>
          <t>OSKARSHAMN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46312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46312</v>
      </c>
      <c r="F389" t="inlineStr">
        <is>
          <t>KALMAR LÄN</t>
        </is>
      </c>
      <c r="G389" t="inlineStr">
        <is>
          <t>OSKARSHAMN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29619-2026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46199</v>
      </c>
      <c r="E390" s="1" t="n">
        <v>46312</v>
      </c>
      <c r="F390" t="inlineStr">
        <is>
          <t>KALMAR LÄN</t>
        </is>
      </c>
      <c r="G390" t="inlineStr">
        <is>
          <t>OSKARSHAMN</t>
        </is>
      </c>
      <c r="H390" t="inlineStr">
        <is>
          <t>Kommuner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58095-2022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46312</v>
      </c>
      <c r="F391" t="inlineStr">
        <is>
          <t>KALMAR LÄN</t>
        </is>
      </c>
      <c r="G391" t="inlineStr">
        <is>
          <t>OSKARSHAMN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46312</v>
      </c>
      <c r="F392" t="inlineStr">
        <is>
          <t>KALMAR LÄN</t>
        </is>
      </c>
      <c r="G392" t="inlineStr">
        <is>
          <t>OSKARSHAMN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17047-2026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46114</v>
      </c>
      <c r="E393" s="1" t="n">
        <v>46312</v>
      </c>
      <c r="F393" t="inlineStr">
        <is>
          <t>KALMAR LÄN</t>
        </is>
      </c>
      <c r="G393" t="inlineStr">
        <is>
          <t>OSKARSHAMN</t>
        </is>
      </c>
      <c r="H393" t="inlineStr">
        <is>
          <t>Kommuner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45341</v>
      </c>
      <c r="E394" s="1" t="n">
        <v>46312</v>
      </c>
      <c r="F394" t="inlineStr">
        <is>
          <t>KALMAR LÄN</t>
        </is>
      </c>
      <c r="G394" t="inlineStr">
        <is>
          <t>OSKARSHAMN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71342-2021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44539</v>
      </c>
      <c r="E395" s="1" t="n">
        <v>46312</v>
      </c>
      <c r="F395" t="inlineStr">
        <is>
          <t>KALMAR LÄN</t>
        </is>
      </c>
      <c r="G395" t="inlineStr">
        <is>
          <t>OSKARSHAMN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46312</v>
      </c>
      <c r="F396" t="inlineStr">
        <is>
          <t>KALMAR LÄN</t>
        </is>
      </c>
      <c r="G396" t="inlineStr">
        <is>
          <t>OSKARSHAMN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21921-2022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44711</v>
      </c>
      <c r="E397" s="1" t="n">
        <v>46312</v>
      </c>
      <c r="F397" t="inlineStr">
        <is>
          <t>KALMAR LÄN</t>
        </is>
      </c>
      <c r="G397" t="inlineStr">
        <is>
          <t>OSKARSHAMN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46312</v>
      </c>
      <c r="F398" t="inlineStr">
        <is>
          <t>KALMAR LÄN</t>
        </is>
      </c>
      <c r="G398" t="inlineStr">
        <is>
          <t>OSKARSHAMN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46312</v>
      </c>
      <c r="F399" t="inlineStr">
        <is>
          <t>KALMAR LÄN</t>
        </is>
      </c>
      <c r="G399" t="inlineStr">
        <is>
          <t>OSKARSHAMN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46312</v>
      </c>
      <c r="F400" t="inlineStr">
        <is>
          <t>KALMAR LÄN</t>
        </is>
      </c>
      <c r="G400" t="inlineStr">
        <is>
          <t>OSKARSHAMN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7962-2022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46312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44624</v>
      </c>
      <c r="E402" s="1" t="n">
        <v>46312</v>
      </c>
      <c r="F402" t="inlineStr">
        <is>
          <t>KALMAR LÄN</t>
        </is>
      </c>
      <c r="G402" t="inlineStr">
        <is>
          <t>OSKARSHAMN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46312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46312</v>
      </c>
      <c r="F404" t="inlineStr">
        <is>
          <t>KALMAR LÄN</t>
        </is>
      </c>
      <c r="G404" t="inlineStr">
        <is>
          <t>OSKARSHAMN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46312</v>
      </c>
      <c r="F405" t="inlineStr">
        <is>
          <t>KALMAR LÄN</t>
        </is>
      </c>
      <c r="G405" t="inlineStr">
        <is>
          <t>OSKARSHAMN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45195</v>
      </c>
      <c r="E406" s="1" t="n">
        <v>46312</v>
      </c>
      <c r="F406" t="inlineStr">
        <is>
          <t>KALMAR LÄN</t>
        </is>
      </c>
      <c r="G406" t="inlineStr">
        <is>
          <t>OSKARSHAMN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46312</v>
      </c>
      <c r="F407" t="inlineStr">
        <is>
          <t>KALMAR LÄN</t>
        </is>
      </c>
      <c r="G407" t="inlineStr">
        <is>
          <t>OSKARSHAMN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46312</v>
      </c>
      <c r="F408" t="inlineStr">
        <is>
          <t>KALMAR LÄN</t>
        </is>
      </c>
      <c r="G408" t="inlineStr">
        <is>
          <t>OSKARSHAMN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44620</v>
      </c>
      <c r="E409" s="1" t="n">
        <v>46312</v>
      </c>
      <c r="F409" t="inlineStr">
        <is>
          <t>KALMAR LÄN</t>
        </is>
      </c>
      <c r="G409" t="inlineStr">
        <is>
          <t>OSKARSHAMN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46312</v>
      </c>
      <c r="F410" t="inlineStr">
        <is>
          <t>KALMAR LÄN</t>
        </is>
      </c>
      <c r="G410" t="inlineStr">
        <is>
          <t>OSKARSHAMN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46312</v>
      </c>
      <c r="F411" t="inlineStr">
        <is>
          <t>KALMAR LÄN</t>
        </is>
      </c>
      <c r="G411" t="inlineStr">
        <is>
          <t>OSKARSHAMN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46312</v>
      </c>
      <c r="F412" t="inlineStr">
        <is>
          <t>KALMAR LÄN</t>
        </is>
      </c>
      <c r="G412" t="inlineStr">
        <is>
          <t>OSKARSHAMN</t>
        </is>
      </c>
      <c r="I412" t="n">
        <v>15.3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46312</v>
      </c>
      <c r="F413" t="inlineStr">
        <is>
          <t>KALMAR LÄN</t>
        </is>
      </c>
      <c r="G413" t="inlineStr">
        <is>
          <t>OSKARSHAMN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46312</v>
      </c>
      <c r="F414" t="inlineStr">
        <is>
          <t>KALMAR LÄN</t>
        </is>
      </c>
      <c r="G414" t="inlineStr">
        <is>
          <t>OSKARSHAMN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57254-2025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46312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46312</v>
      </c>
      <c r="F416" t="inlineStr">
        <is>
          <t>KALMAR LÄN</t>
        </is>
      </c>
      <c r="G416" t="inlineStr">
        <is>
          <t>OSKARSHAMN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46312</v>
      </c>
      <c r="F417" t="inlineStr">
        <is>
          <t>KALMAR LÄN</t>
        </is>
      </c>
      <c r="G417" t="inlineStr">
        <is>
          <t>OSKARSHAMN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46312</v>
      </c>
      <c r="F418" t="inlineStr">
        <is>
          <t>KALMAR LÄN</t>
        </is>
      </c>
      <c r="G418" t="inlineStr">
        <is>
          <t>OSKARSHAMN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46312</v>
      </c>
      <c r="F419" t="inlineStr">
        <is>
          <t>KALMAR LÄN</t>
        </is>
      </c>
      <c r="G419" t="inlineStr">
        <is>
          <t>OSKARSHAMN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46312</v>
      </c>
      <c r="F420" t="inlineStr">
        <is>
          <t>KALMAR LÄN</t>
        </is>
      </c>
      <c r="G420" t="inlineStr">
        <is>
          <t>OSKARSHAMN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46312</v>
      </c>
      <c r="F421" t="inlineStr">
        <is>
          <t>KALMAR LÄN</t>
        </is>
      </c>
      <c r="G421" t="inlineStr">
        <is>
          <t>OSKARSHAMN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46312</v>
      </c>
      <c r="F422" t="inlineStr">
        <is>
          <t>KALMAR LÄN</t>
        </is>
      </c>
      <c r="G422" t="inlineStr">
        <is>
          <t>OSKARSHAMN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46312</v>
      </c>
      <c r="F423" t="inlineStr">
        <is>
          <t>KALMAR LÄN</t>
        </is>
      </c>
      <c r="G423" t="inlineStr">
        <is>
          <t>OSKARSHAMN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45908</v>
      </c>
      <c r="E424" s="1" t="n">
        <v>46312</v>
      </c>
      <c r="F424" t="inlineStr">
        <is>
          <t>KALMAR LÄN</t>
        </is>
      </c>
      <c r="G424" t="inlineStr">
        <is>
          <t>OSKARSHAMN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41536-2024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45560</v>
      </c>
      <c r="E425" s="1" t="n">
        <v>46312</v>
      </c>
      <c r="F425" t="inlineStr">
        <is>
          <t>KALMAR LÄN</t>
        </is>
      </c>
      <c r="G425" t="inlineStr">
        <is>
          <t>OSKARSHAMN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46312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46312</v>
      </c>
      <c r="F427" t="inlineStr">
        <is>
          <t>KALMAR LÄN</t>
        </is>
      </c>
      <c r="G427" t="inlineStr">
        <is>
          <t>OSKARSHAMN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45691</v>
      </c>
      <c r="E428" s="1" t="n">
        <v>46312</v>
      </c>
      <c r="F428" t="inlineStr">
        <is>
          <t>KALMAR LÄN</t>
        </is>
      </c>
      <c r="G428" t="inlineStr">
        <is>
          <t>OSKARSHAMN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46312</v>
      </c>
      <c r="F429" t="inlineStr">
        <is>
          <t>KALMAR LÄN</t>
        </is>
      </c>
      <c r="G429" t="inlineStr">
        <is>
          <t>OSKARSHAMN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46211</v>
      </c>
      <c r="E430" s="1" t="n">
        <v>46312</v>
      </c>
      <c r="F430" t="inlineStr">
        <is>
          <t>KALMAR LÄN</t>
        </is>
      </c>
      <c r="G430" t="inlineStr">
        <is>
          <t>OSKARSHAMN</t>
        </is>
      </c>
      <c r="I430" t="n">
        <v>13.6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44585</v>
      </c>
      <c r="E431" s="1" t="n">
        <v>46312</v>
      </c>
      <c r="F431" t="inlineStr">
        <is>
          <t>KALMAR LÄN</t>
        </is>
      </c>
      <c r="G431" t="inlineStr">
        <is>
          <t>OSKARSHAMN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46312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45317</v>
      </c>
      <c r="E433" s="1" t="n">
        <v>46312</v>
      </c>
      <c r="F433" t="inlineStr">
        <is>
          <t>KALMAR LÄN</t>
        </is>
      </c>
      <c r="G433" t="inlineStr">
        <is>
          <t>OSKARSHAMN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50169-2022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46312</v>
      </c>
      <c r="F434" t="inlineStr">
        <is>
          <t>KALMAR LÄN</t>
        </is>
      </c>
      <c r="G434" t="inlineStr">
        <is>
          <t>OSKARSHAMN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45056</v>
      </c>
      <c r="E435" s="1" t="n">
        <v>46312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46312</v>
      </c>
      <c r="F436" t="inlineStr">
        <is>
          <t>KALMAR LÄN</t>
        </is>
      </c>
      <c r="G436" t="inlineStr">
        <is>
          <t>OSKARSHAMN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46312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45448</v>
      </c>
      <c r="E438" s="1" t="n">
        <v>46312</v>
      </c>
      <c r="F438" t="inlineStr">
        <is>
          <t>KALMAR LÄN</t>
        </is>
      </c>
      <c r="G438" t="inlineStr">
        <is>
          <t>OSKARSHAMN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46230</v>
      </c>
      <c r="E439" s="1" t="n">
        <v>46312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45015</v>
      </c>
      <c r="E440" s="1" t="n">
        <v>46312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46312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46312</v>
      </c>
      <c r="F442" t="inlineStr">
        <is>
          <t>KALMAR LÄN</t>
        </is>
      </c>
      <c r="G442" t="inlineStr">
        <is>
          <t>OSKARSHAMN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46312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45252</v>
      </c>
      <c r="E444" s="1" t="n">
        <v>46312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45244</v>
      </c>
      <c r="E445" s="1" t="n">
        <v>46312</v>
      </c>
      <c r="F445" t="inlineStr">
        <is>
          <t>KALMAR LÄN</t>
        </is>
      </c>
      <c r="G445" t="inlineStr">
        <is>
          <t>OSKARSHAMN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46312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46312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45580</v>
      </c>
      <c r="E448" s="1" t="n">
        <v>46312</v>
      </c>
      <c r="F448" t="inlineStr">
        <is>
          <t>KALMAR LÄN</t>
        </is>
      </c>
      <c r="G448" t="inlineStr">
        <is>
          <t>OSKARSHAMN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46312</v>
      </c>
      <c r="F449" t="inlineStr">
        <is>
          <t>KALMAR LÄN</t>
        </is>
      </c>
      <c r="G449" t="inlineStr">
        <is>
          <t>OSKARSHAMN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45625</v>
      </c>
      <c r="E450" s="1" t="n">
        <v>46312</v>
      </c>
      <c r="F450" t="inlineStr">
        <is>
          <t>KALMAR LÄN</t>
        </is>
      </c>
      <c r="G450" t="inlineStr">
        <is>
          <t>OSKARSHAMN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44733</v>
      </c>
      <c r="E451" s="1" t="n">
        <v>46312</v>
      </c>
      <c r="F451" t="inlineStr">
        <is>
          <t>KALMAR LÄN</t>
        </is>
      </c>
      <c r="G451" t="inlineStr">
        <is>
          <t>OSKARSHAMN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45385</v>
      </c>
      <c r="E452" s="1" t="n">
        <v>46312</v>
      </c>
      <c r="F452" t="inlineStr">
        <is>
          <t>KALMAR LÄN</t>
        </is>
      </c>
      <c r="G452" t="inlineStr">
        <is>
          <t>OSKARSHAMN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45218</v>
      </c>
      <c r="E453" s="1" t="n">
        <v>46312</v>
      </c>
      <c r="F453" t="inlineStr">
        <is>
          <t>KALMAR LÄN</t>
        </is>
      </c>
      <c r="G453" t="inlineStr">
        <is>
          <t>OSKARSHAMN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46312</v>
      </c>
      <c r="F454" t="inlineStr">
        <is>
          <t>KALMAR LÄN</t>
        </is>
      </c>
      <c r="G454" t="inlineStr">
        <is>
          <t>OSKARSHAMN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45034</v>
      </c>
      <c r="E455" s="1" t="n">
        <v>46312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30273-2024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45490</v>
      </c>
      <c r="E456" s="1" t="n">
        <v>46312</v>
      </c>
      <c r="F456" t="inlineStr">
        <is>
          <t>KALMAR LÄN</t>
        </is>
      </c>
      <c r="G456" t="inlineStr">
        <is>
          <t>OSKARSHAMN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51076-2024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46312</v>
      </c>
      <c r="F457" t="inlineStr">
        <is>
          <t>KALMAR LÄN</t>
        </is>
      </c>
      <c r="G457" t="inlineStr">
        <is>
          <t>OSKARSHAMN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59002-2021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44490</v>
      </c>
      <c r="E458" s="1" t="n">
        <v>46312</v>
      </c>
      <c r="F458" t="inlineStr">
        <is>
          <t>KALMAR LÄN</t>
        </is>
      </c>
      <c r="G458" t="inlineStr">
        <is>
          <t>OSKARSHAMN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46312</v>
      </c>
      <c r="F459" t="inlineStr">
        <is>
          <t>KALMAR LÄN</t>
        </is>
      </c>
      <c r="G459" t="inlineStr">
        <is>
          <t>OSKARSHAMN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45720</v>
      </c>
      <c r="E460" s="1" t="n">
        <v>46312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33461-2024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45519</v>
      </c>
      <c r="E461" s="1" t="n">
        <v>46312</v>
      </c>
      <c r="F461" t="inlineStr">
        <is>
          <t>KALMAR LÄN</t>
        </is>
      </c>
      <c r="G461" t="inlineStr">
        <is>
          <t>OSKARSHAMN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45372</v>
      </c>
      <c r="E462" s="1" t="n">
        <v>46312</v>
      </c>
      <c r="F462" t="inlineStr">
        <is>
          <t>KALMAR LÄN</t>
        </is>
      </c>
      <c r="G462" t="inlineStr">
        <is>
          <t>OSKARSHAMN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45012</v>
      </c>
      <c r="E463" s="1" t="n">
        <v>46312</v>
      </c>
      <c r="F463" t="inlineStr">
        <is>
          <t>KALMAR LÄN</t>
        </is>
      </c>
      <c r="G463" t="inlineStr">
        <is>
          <t>OSKARSHAMN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46312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46312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62322-2023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46312</v>
      </c>
      <c r="F466" t="inlineStr">
        <is>
          <t>KALMAR LÄN</t>
        </is>
      </c>
      <c r="G466" t="inlineStr">
        <is>
          <t>OSKARSHAMN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46312</v>
      </c>
      <c r="F467" t="inlineStr">
        <is>
          <t>KALMAR LÄN</t>
        </is>
      </c>
      <c r="G467" t="inlineStr">
        <is>
          <t>OSKARSHAMN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46287</v>
      </c>
      <c r="E468" s="1" t="n">
        <v>46312</v>
      </c>
      <c r="F468" t="inlineStr">
        <is>
          <t>KALMAR LÄN</t>
        </is>
      </c>
      <c r="G468" t="inlineStr">
        <is>
          <t>OSKARSHAMN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45490</v>
      </c>
      <c r="E469" s="1" t="n">
        <v>46312</v>
      </c>
      <c r="F469" t="inlineStr">
        <is>
          <t>KALMAR LÄN</t>
        </is>
      </c>
      <c r="G469" t="inlineStr">
        <is>
          <t>OSKARSHAMN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46312</v>
      </c>
      <c r="F470" t="inlineStr">
        <is>
          <t>KALMAR LÄN</t>
        </is>
      </c>
      <c r="G470" t="inlineStr">
        <is>
          <t>OSKARSHAMN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29145-2023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45105</v>
      </c>
      <c r="E471" s="1" t="n">
        <v>46312</v>
      </c>
      <c r="F471" t="inlineStr">
        <is>
          <t>KALMAR LÄN</t>
        </is>
      </c>
      <c r="G471" t="inlineStr">
        <is>
          <t>OSKARSHAMN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46312</v>
      </c>
      <c r="F472" t="inlineStr">
        <is>
          <t>KALMAR LÄN</t>
        </is>
      </c>
      <c r="G472" t="inlineStr">
        <is>
          <t>OSKARSHAMN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45041</v>
      </c>
      <c r="E473" s="1" t="n">
        <v>46312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46312</v>
      </c>
      <c r="F474" t="inlineStr">
        <is>
          <t>KALMAR LÄN</t>
        </is>
      </c>
      <c r="G474" t="inlineStr">
        <is>
          <t>OSKARSHAMN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46312</v>
      </c>
      <c r="F475" t="inlineStr">
        <is>
          <t>KALMAR LÄN</t>
        </is>
      </c>
      <c r="G475" t="inlineStr">
        <is>
          <t>OSKARSHAMN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46287</v>
      </c>
      <c r="E476" s="1" t="n">
        <v>46312</v>
      </c>
      <c r="F476" t="inlineStr">
        <is>
          <t>KALMAR LÄN</t>
        </is>
      </c>
      <c r="G476" t="inlineStr">
        <is>
          <t>OSKARSHAMN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45405</v>
      </c>
      <c r="E477" s="1" t="n">
        <v>46312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46312</v>
      </c>
      <c r="F478" t="inlineStr">
        <is>
          <t>KALMAR LÄN</t>
        </is>
      </c>
      <c r="G478" t="inlineStr">
        <is>
          <t>OSKARSHAMN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46312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46243</v>
      </c>
      <c r="E480" s="1" t="n">
        <v>46312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50922-2022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46312</v>
      </c>
      <c r="F481" t="inlineStr">
        <is>
          <t>KALMAR LÄN</t>
        </is>
      </c>
      <c r="G481" t="inlineStr">
        <is>
          <t>OSKARSHAMN</t>
        </is>
      </c>
      <c r="H481" t="inlineStr">
        <is>
          <t>Övriga Aktiebolag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46243</v>
      </c>
      <c r="E482" s="1" t="n">
        <v>46312</v>
      </c>
      <c r="F482" t="inlineStr">
        <is>
          <t>KALMAR LÄN</t>
        </is>
      </c>
      <c r="G482" t="inlineStr">
        <is>
          <t>OSKARSHAMN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46312</v>
      </c>
      <c r="F483" t="inlineStr">
        <is>
          <t>KALMAR LÄN</t>
        </is>
      </c>
      <c r="G483" t="inlineStr">
        <is>
          <t>OSKARSHAMN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45539</v>
      </c>
      <c r="E484" s="1" t="n">
        <v>46312</v>
      </c>
      <c r="F484" t="inlineStr">
        <is>
          <t>KALMAR LÄN</t>
        </is>
      </c>
      <c r="G484" t="inlineStr">
        <is>
          <t>OSKARSHAMN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46312</v>
      </c>
      <c r="F485" t="inlineStr">
        <is>
          <t>KALMAR LÄN</t>
        </is>
      </c>
      <c r="G485" t="inlineStr">
        <is>
          <t>OSKARSHAMN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46312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45245</v>
      </c>
      <c r="E487" s="1" t="n">
        <v>46312</v>
      </c>
      <c r="F487" t="inlineStr">
        <is>
          <t>KALMAR LÄN</t>
        </is>
      </c>
      <c r="G487" t="inlineStr">
        <is>
          <t>OSKARSHAMN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46288</v>
      </c>
      <c r="E488" s="1" t="n">
        <v>46312</v>
      </c>
      <c r="F488" t="inlineStr">
        <is>
          <t>KALMAR LÄN</t>
        </is>
      </c>
      <c r="G488" t="inlineStr">
        <is>
          <t>OSKARSHAMN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45196</v>
      </c>
      <c r="E489" s="1" t="n">
        <v>46312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45604</v>
      </c>
      <c r="E490" s="1" t="n">
        <v>46312</v>
      </c>
      <c r="F490" t="inlineStr">
        <is>
          <t>KALMAR LÄN</t>
        </is>
      </c>
      <c r="G490" t="inlineStr">
        <is>
          <t>OSKARSHAMN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51025-2023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45218</v>
      </c>
      <c r="E491" s="1" t="n">
        <v>46312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45168</v>
      </c>
      <c r="E492" s="1" t="n">
        <v>46312</v>
      </c>
      <c r="F492" t="inlineStr">
        <is>
          <t>KALMAR LÄN</t>
        </is>
      </c>
      <c r="G492" t="inlineStr">
        <is>
          <t>OSKARSHAMN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46312</v>
      </c>
      <c r="F493" t="inlineStr">
        <is>
          <t>KALMAR LÄN</t>
        </is>
      </c>
      <c r="G493" t="inlineStr">
        <is>
          <t>OSKARSHAMN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46312</v>
      </c>
      <c r="F494" t="inlineStr">
        <is>
          <t>KALMAR LÄN</t>
        </is>
      </c>
      <c r="G494" t="inlineStr">
        <is>
          <t>OSKARSHAMN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46312</v>
      </c>
      <c r="F495" t="inlineStr">
        <is>
          <t>KALMAR LÄN</t>
        </is>
      </c>
      <c r="G495" t="inlineStr">
        <is>
          <t>OSKARSHAMN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28100-2026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46195</v>
      </c>
      <c r="E496" s="1" t="n">
        <v>46312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45553</v>
      </c>
      <c r="E497" s="1" t="n">
        <v>46312</v>
      </c>
      <c r="F497" t="inlineStr">
        <is>
          <t>KALMAR LÄN</t>
        </is>
      </c>
      <c r="G497" t="inlineStr">
        <is>
          <t>OSKARSHAMN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46312</v>
      </c>
      <c r="F498" t="inlineStr">
        <is>
          <t>KALMAR LÄN</t>
        </is>
      </c>
      <c r="G498" t="inlineStr">
        <is>
          <t>OSKARSHAMN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46312</v>
      </c>
      <c r="F499" t="inlineStr">
        <is>
          <t>KALMAR LÄN</t>
        </is>
      </c>
      <c r="G499" t="inlineStr">
        <is>
          <t>OSKARSHAMN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18978-2026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46128</v>
      </c>
      <c r="E500" s="1" t="n">
        <v>46312</v>
      </c>
      <c r="F500" t="inlineStr">
        <is>
          <t>KALMAR LÄN</t>
        </is>
      </c>
      <c r="G500" t="inlineStr">
        <is>
          <t>OSKARSHAMN</t>
        </is>
      </c>
      <c r="H500" t="inlineStr">
        <is>
          <t>Kommuner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55569-2024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45621</v>
      </c>
      <c r="E501" s="1" t="n">
        <v>46312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45643</v>
      </c>
      <c r="E502" s="1" t="n">
        <v>46312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46312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59075-2021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44489</v>
      </c>
      <c r="E504" s="1" t="n">
        <v>46312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46312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46312</v>
      </c>
      <c r="F506" t="inlineStr">
        <is>
          <t>KALMAR LÄN</t>
        </is>
      </c>
      <c r="G506" t="inlineStr">
        <is>
          <t>OSKARSHAMN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46312</v>
      </c>
      <c r="F507" t="inlineStr">
        <is>
          <t>KALMAR LÄN</t>
        </is>
      </c>
      <c r="G507" t="inlineStr">
        <is>
          <t>OSKARSHAMN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46312</v>
      </c>
      <c r="F508" t="inlineStr">
        <is>
          <t>KALMAR LÄN</t>
        </is>
      </c>
      <c r="G508" t="inlineStr">
        <is>
          <t>OSKARSHAMN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46312</v>
      </c>
      <c r="F509" t="inlineStr">
        <is>
          <t>KALMAR LÄN</t>
        </is>
      </c>
      <c r="G509" t="inlineStr">
        <is>
          <t>OSKARSHAMN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43931-2024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45572</v>
      </c>
      <c r="E510" s="1" t="n">
        <v>46312</v>
      </c>
      <c r="F510" t="inlineStr">
        <is>
          <t>KALMAR LÄN</t>
        </is>
      </c>
      <c r="G510" t="inlineStr">
        <is>
          <t>OSKARSHAMN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58406-2021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44488</v>
      </c>
      <c r="E511" s="1" t="n">
        <v>46312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21964-2022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46312</v>
      </c>
      <c r="F512" t="inlineStr">
        <is>
          <t>KALMAR LÄN</t>
        </is>
      </c>
      <c r="G512" t="inlineStr">
        <is>
          <t>OSKARSHAMN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46295</v>
      </c>
      <c r="E513" s="1" t="n">
        <v>46312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46312</v>
      </c>
      <c r="F514" t="inlineStr">
        <is>
          <t>KALMAR LÄN</t>
        </is>
      </c>
      <c r="G514" t="inlineStr">
        <is>
          <t>OSKARSHAMN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46312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46312</v>
      </c>
      <c r="F516" t="inlineStr">
        <is>
          <t>KALMAR LÄN</t>
        </is>
      </c>
      <c r="G516" t="inlineStr">
        <is>
          <t>OSKARSHAMN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45028</v>
      </c>
      <c r="E517" s="1" t="n">
        <v>46312</v>
      </c>
      <c r="F517" t="inlineStr">
        <is>
          <t>KALMAR LÄN</t>
        </is>
      </c>
      <c r="G517" t="inlineStr">
        <is>
          <t>OSKARSHAMN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14129-2025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45740</v>
      </c>
      <c r="E518" s="1" t="n">
        <v>46312</v>
      </c>
      <c r="F518" t="inlineStr">
        <is>
          <t>KALMAR LÄN</t>
        </is>
      </c>
      <c r="G518" t="inlineStr">
        <is>
          <t>OSKARSHAMN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45119</v>
      </c>
      <c r="E519" s="1" t="n">
        <v>46312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26555-2024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45469</v>
      </c>
      <c r="E520" s="1" t="n">
        <v>46312</v>
      </c>
      <c r="F520" t="inlineStr">
        <is>
          <t>KALMAR LÄN</t>
        </is>
      </c>
      <c r="G520" t="inlineStr">
        <is>
          <t>OSKARSHAMN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46312</v>
      </c>
      <c r="F521" t="inlineStr">
        <is>
          <t>KALMAR LÄN</t>
        </is>
      </c>
      <c r="G521" t="inlineStr">
        <is>
          <t>OSKARSHAMN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45728</v>
      </c>
      <c r="E522" s="1" t="n">
        <v>46312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46312</v>
      </c>
      <c r="F523" t="inlineStr">
        <is>
          <t>KALMAR LÄN</t>
        </is>
      </c>
      <c r="G523" t="inlineStr">
        <is>
          <t>OSKARSHAMN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54522-2023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45233</v>
      </c>
      <c r="E524" s="1" t="n">
        <v>46312</v>
      </c>
      <c r="F524" t="inlineStr">
        <is>
          <t>KALMAR LÄN</t>
        </is>
      </c>
      <c r="G524" t="inlineStr">
        <is>
          <t>OSKARSHAMN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45224</v>
      </c>
      <c r="E525" s="1" t="n">
        <v>46312</v>
      </c>
      <c r="F525" t="inlineStr">
        <is>
          <t>KALMAR LÄN</t>
        </is>
      </c>
      <c r="G525" t="inlineStr">
        <is>
          <t>OSKARSHAMN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46312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46312</v>
      </c>
      <c r="F527" t="inlineStr">
        <is>
          <t>KALMAR LÄN</t>
        </is>
      </c>
      <c r="G527" t="inlineStr">
        <is>
          <t>OSKARSHAMN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45708</v>
      </c>
      <c r="E528" s="1" t="n">
        <v>46312</v>
      </c>
      <c r="F528" t="inlineStr">
        <is>
          <t>KALMAR LÄN</t>
        </is>
      </c>
      <c r="G528" t="inlineStr">
        <is>
          <t>OSKARSHAMN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46312</v>
      </c>
      <c r="F529" t="inlineStr">
        <is>
          <t>KALMAR LÄN</t>
        </is>
      </c>
      <c r="G529" t="inlineStr">
        <is>
          <t>OSKARSHAMN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45754</v>
      </c>
      <c r="E530" s="1" t="n">
        <v>46312</v>
      </c>
      <c r="F530" t="inlineStr">
        <is>
          <t>KALMAR LÄN</t>
        </is>
      </c>
      <c r="G530" t="inlineStr">
        <is>
          <t>OSKARSHAMN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46302</v>
      </c>
      <c r="E531" s="1" t="n">
        <v>46312</v>
      </c>
      <c r="F531" t="inlineStr">
        <is>
          <t>KALMAR LÄN</t>
        </is>
      </c>
      <c r="G531" t="inlineStr">
        <is>
          <t>OSKARSHAMN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46312</v>
      </c>
      <c r="F532" t="inlineStr">
        <is>
          <t>KALMAR LÄN</t>
        </is>
      </c>
      <c r="G532" t="inlineStr">
        <is>
          <t>OSKARSHAMN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46307</v>
      </c>
      <c r="E533" s="1" t="n">
        <v>46312</v>
      </c>
      <c r="F533" t="inlineStr">
        <is>
          <t>KALMAR LÄN</t>
        </is>
      </c>
      <c r="G533" t="inlineStr">
        <is>
          <t>OSKARSHAMN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46312</v>
      </c>
      <c r="F534" t="inlineStr">
        <is>
          <t>KALMAR LÄN</t>
        </is>
      </c>
      <c r="G534" t="inlineStr">
        <is>
          <t>OSKARSHAMN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45526</v>
      </c>
      <c r="E535" s="1" t="n">
        <v>46312</v>
      </c>
      <c r="F535" t="inlineStr">
        <is>
          <t>KALMAR LÄN</t>
        </is>
      </c>
      <c r="G535" t="inlineStr">
        <is>
          <t>OSKARSHAMN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46309</v>
      </c>
      <c r="E536" s="1" t="n">
        <v>46312</v>
      </c>
      <c r="F536" t="inlineStr">
        <is>
          <t>KALMAR LÄN</t>
        </is>
      </c>
      <c r="G536" t="inlineStr">
        <is>
          <t>OSKARSHAMN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16558-2024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45408</v>
      </c>
      <c r="E537" s="1" t="n">
        <v>46312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42789-2026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46309</v>
      </c>
      <c r="E538" s="1" t="n">
        <v>46312</v>
      </c>
      <c r="F538" t="inlineStr">
        <is>
          <t>KALMAR LÄN</t>
        </is>
      </c>
      <c r="G538" t="inlineStr">
        <is>
          <t>OSKARSHAMN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46312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46312</v>
      </c>
      <c r="F540" t="inlineStr">
        <is>
          <t>KALMAR LÄN</t>
        </is>
      </c>
      <c r="G540" t="inlineStr">
        <is>
          <t>OSKARSHAMN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26127-2025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45805</v>
      </c>
      <c r="E541" s="1" t="n">
        <v>46312</v>
      </c>
      <c r="F541" t="inlineStr">
        <is>
          <t>KALMAR LÄN</t>
        </is>
      </c>
      <c r="G541" t="inlineStr">
        <is>
          <t>OSKARSHAMN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46312</v>
      </c>
      <c r="F542" t="inlineStr">
        <is>
          <t>KALMAR LÄN</t>
        </is>
      </c>
      <c r="G542" t="inlineStr">
        <is>
          <t>OSKARSHAMN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46312</v>
      </c>
      <c r="F543" t="inlineStr">
        <is>
          <t>KALMAR LÄN</t>
        </is>
      </c>
      <c r="G543" t="inlineStr">
        <is>
          <t>OSKARSHAMN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46312</v>
      </c>
      <c r="F544" t="inlineStr">
        <is>
          <t>KALMAR LÄN</t>
        </is>
      </c>
      <c r="G544" t="inlineStr">
        <is>
          <t>OSKARSHAMN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46312</v>
      </c>
      <c r="F545" t="inlineStr">
        <is>
          <t>KALMAR LÄN</t>
        </is>
      </c>
      <c r="G545" t="inlineStr">
        <is>
          <t>OSKARSHAMN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46312</v>
      </c>
      <c r="F546" t="inlineStr">
        <is>
          <t>KALMAR LÄN</t>
        </is>
      </c>
      <c r="G546" t="inlineStr">
        <is>
          <t>OSKARSHAMN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45825</v>
      </c>
      <c r="E547" s="1" t="n">
        <v>46312</v>
      </c>
      <c r="F547" t="inlineStr">
        <is>
          <t>KALMAR LÄN</t>
        </is>
      </c>
      <c r="G547" t="inlineStr">
        <is>
          <t>OSKARSHAMN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46267</v>
      </c>
      <c r="E548" s="1" t="n">
        <v>46312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46312</v>
      </c>
      <c r="F549" t="inlineStr">
        <is>
          <t>KALMAR LÄN</t>
        </is>
      </c>
      <c r="G549" t="inlineStr">
        <is>
          <t>OSKARSHAMN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45832</v>
      </c>
      <c r="E550" s="1" t="n">
        <v>46312</v>
      </c>
      <c r="F550" t="inlineStr">
        <is>
          <t>KALMAR LÄN</t>
        </is>
      </c>
      <c r="G550" t="inlineStr">
        <is>
          <t>OSKARSHAMN</t>
        </is>
      </c>
      <c r="I550" t="n">
        <v>11.7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46312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31081-2025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45832</v>
      </c>
      <c r="E552" s="1" t="n">
        <v>46312</v>
      </c>
      <c r="F552" t="inlineStr">
        <is>
          <t>KALMAR LÄN</t>
        </is>
      </c>
      <c r="G552" t="inlineStr">
        <is>
          <t>OSKARSHAMN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23641-2025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45792</v>
      </c>
      <c r="E553" s="1" t="n">
        <v>46312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45691</v>
      </c>
      <c r="E554" s="1" t="n">
        <v>46312</v>
      </c>
      <c r="F554" t="inlineStr">
        <is>
          <t>KALMAR LÄN</t>
        </is>
      </c>
      <c r="G554" t="inlineStr">
        <is>
          <t>OSKARSHAMN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45792</v>
      </c>
      <c r="E555" s="1" t="n">
        <v>46312</v>
      </c>
      <c r="F555" t="inlineStr">
        <is>
          <t>KALMAR LÄN</t>
        </is>
      </c>
      <c r="G555" t="inlineStr">
        <is>
          <t>OSKARSHAMN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46312</v>
      </c>
      <c r="F556" t="inlineStr">
        <is>
          <t>KALMAR LÄN</t>
        </is>
      </c>
      <c r="G556" t="inlineStr">
        <is>
          <t>OSKARSHAMN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46312</v>
      </c>
      <c r="F557" t="inlineStr">
        <is>
          <t>KALMAR LÄN</t>
        </is>
      </c>
      <c r="G557" t="inlineStr">
        <is>
          <t>OSKARSHAMN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46312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46312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46312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46312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46312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46312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4600-2023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45287</v>
      </c>
      <c r="E564" s="1" t="n">
        <v>46312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46312</v>
      </c>
      <c r="F565" t="inlineStr">
        <is>
          <t>KALMAR LÄN</t>
        </is>
      </c>
      <c r="G565" t="inlineStr">
        <is>
          <t>OSKARSHAMN</t>
        </is>
      </c>
      <c r="I565" t="n">
        <v>11.9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46312</v>
      </c>
      <c r="F566" t="inlineStr">
        <is>
          <t>KALMAR LÄN</t>
        </is>
      </c>
      <c r="G566" t="inlineStr">
        <is>
          <t>OSKARSHAMN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46312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3313-2023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45195</v>
      </c>
      <c r="E568" s="1" t="n">
        <v>46312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821-2023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44988</v>
      </c>
      <c r="E569" s="1" t="n">
        <v>46312</v>
      </c>
      <c r="F569" t="inlineStr">
        <is>
          <t>KALMAR LÄN</t>
        </is>
      </c>
      <c r="G569" t="inlineStr">
        <is>
          <t>OSKARSHAMN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2566-2024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45476</v>
      </c>
      <c r="E570" s="1" t="n">
        <v>46312</v>
      </c>
      <c r="F570" t="inlineStr">
        <is>
          <t>KALMAR LÄN</t>
        </is>
      </c>
      <c r="G570" t="inlineStr">
        <is>
          <t>OSKARSHAMN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46312</v>
      </c>
      <c r="F571" t="inlineStr">
        <is>
          <t>KALMAR LÄN</t>
        </is>
      </c>
      <c r="G571" t="inlineStr">
        <is>
          <t>OSKARSHAMN</t>
        </is>
      </c>
      <c r="I571" t="n">
        <v>37.5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46312</v>
      </c>
      <c r="F572" t="inlineStr">
        <is>
          <t>KALMAR LÄN</t>
        </is>
      </c>
      <c r="G572" t="inlineStr">
        <is>
          <t>OSKARSHAMN</t>
        </is>
      </c>
      <c r="I572" t="n">
        <v>47.2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45470</v>
      </c>
      <c r="E573" s="1" t="n">
        <v>46312</v>
      </c>
      <c r="F573" t="inlineStr">
        <is>
          <t>KALMAR LÄN</t>
        </is>
      </c>
      <c r="G573" t="inlineStr">
        <is>
          <t>OSKARSHAMN</t>
        </is>
      </c>
      <c r="I573" t="n">
        <v>34.4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712-2023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44979</v>
      </c>
      <c r="E574" s="1" t="n">
        <v>46312</v>
      </c>
      <c r="F574" t="inlineStr">
        <is>
          <t>KALMAR LÄN</t>
        </is>
      </c>
      <c r="G574" t="inlineStr">
        <is>
          <t>OSKARSHAMN</t>
        </is>
      </c>
      <c r="I574" t="n">
        <v>24.6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46312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46312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46312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46312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46312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46312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46312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2026-10-17T02:01:27Z</dcterms:created>
  <dcterms:modified xmlns:dcterms="http://purl.org/dc/terms/" xmlns:xsi="http://www.w3.org/2001/XMLSchema-instance" xsi:type="dcterms:W3CDTF">2026-10-17T02:01:27Z</dcterms:modified>
</cp:coreProperties>
</file>