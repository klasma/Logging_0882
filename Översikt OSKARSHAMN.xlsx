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46253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46253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46253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46253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46253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46253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46253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46253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46253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46253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46253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46253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46253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46253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46253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46253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46253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46253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46253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46253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46253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46253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46253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46253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46253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46253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46253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46253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46253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46253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46253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46253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46253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46253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46253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46253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6818-2025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46253</v>
      </c>
      <c r="F54" t="inlineStr">
        <is>
          <t>KALMAR LÄN</t>
        </is>
      </c>
      <c r="G54" t="inlineStr">
        <is>
          <t>OSKARSHAMN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HYPERLINK("https://klasma.github.io/Logging_0882/artfynd/A 6818-2025 artfynd.xlsx", "A 6818-2025")</f>
        <v/>
      </c>
      <c r="X54">
        <f>HYPERLINK("https://klasma.github.io/Logging_0882/kartor/A 6818-2025 karta.png", "A 6818-2025")</f>
        <v/>
      </c>
      <c r="Y54">
        <f>HYPERLINK("https://klasma.github.io/Logging_0882/kartor_geotiff/A 6818-2025 georefererad karta.tif", "A 6818-2025")</f>
        <v/>
      </c>
      <c r="AA54">
        <f>HYPERLINK("https://klasma.github.io/Logging_0882/klagomål/A 6818-2025 FSC-klagomål.docx", "A 6818-2025")</f>
        <v/>
      </c>
      <c r="AB54">
        <f>HYPERLINK("https://klasma.github.io/Logging_0882/klagomålsmail/A 6818-2025 FSC-klagomål mail.docx", "A 6818-2025")</f>
        <v/>
      </c>
      <c r="AC54">
        <f>HYPERLINK("https://klasma.github.io/Logging_0882/tillsyn/A 6818-2025 tillsynsbegäran.docx", "A 6818-2025")</f>
        <v/>
      </c>
      <c r="AD54">
        <f>HYPERLINK("https://klasma.github.io/Logging_0882/tillsynsmail/A 6818-2025 tillsynsbegäran mail.docx", "A 6818-2025")</f>
        <v/>
      </c>
      <c r="AE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46253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46253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46253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46253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Mosippa</t>
        </is>
      </c>
      <c r="W58">
        <f>HYPERLINK("https://klasma.github.io/Logging_0882/artfynd/A 26730-2026 artfynd.xlsx", "A 26730-2026")</f>
        <v/>
      </c>
      <c r="X58">
        <f>HYPERLINK("https://klasma.github.io/Logging_0882/kartor/A 26730-2026 karta.png", "A 26730-2026")</f>
        <v/>
      </c>
      <c r="Y58">
        <f>HYPERLINK("https://klasma.github.io/Logging_0882/kartor_geotiff/A 26730-2026 georefererad karta.tif", "A 26730-2026")</f>
        <v/>
      </c>
      <c r="AA58">
        <f>HYPERLINK("https://klasma.github.io/Logging_0882/klagomål/A 26730-2026 FSC-klagomål.docx", "A 26730-2026")</f>
        <v/>
      </c>
      <c r="AB58">
        <f>HYPERLINK("https://klasma.github.io/Logging_0882/klagomålsmail/A 26730-2026 FSC-klagomål mail.docx", "A 26730-2026")</f>
        <v/>
      </c>
      <c r="AC58">
        <f>HYPERLINK("https://klasma.github.io/Logging_0882/tillsyn/A 26730-2026 tillsynsbegäran.docx", "A 26730-2026")</f>
        <v/>
      </c>
      <c r="AD58">
        <f>HYPERLINK("https://klasma.github.io/Logging_0882/tillsynsmail/A 26730-2026 tillsynsbegäran mail.docx", "A 26730-2026")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46253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46253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Slåttergubbe</t>
        </is>
      </c>
      <c r="W60">
        <f>HYPERLINK("https://klasma.github.io/Logging_0882/artfynd/A 17193-2023 artfynd.xlsx", "A 17193-2023")</f>
        <v/>
      </c>
      <c r="X60">
        <f>HYPERLINK("https://klasma.github.io/Logging_0882/kartor/A 17193-2023 karta.png", "A 17193-2023")</f>
        <v/>
      </c>
      <c r="Y60">
        <f>HYPERLINK("https://klasma.github.io/Logging_0882/kartor_geotiff/A 17193-2023 georefererad karta.tif", "A 17193-2023")</f>
        <v/>
      </c>
      <c r="AA60">
        <f>HYPERLINK("https://klasma.github.io/Logging_0882/klagomål/A 17193-2023 FSC-klagomål.docx", "A 17193-2023")</f>
        <v/>
      </c>
      <c r="AB60">
        <f>HYPERLINK("https://klasma.github.io/Logging_0882/klagomålsmail/A 17193-2023 FSC-klagomål mail.docx", "A 17193-2023")</f>
        <v/>
      </c>
      <c r="AC60">
        <f>HYPERLINK("https://klasma.github.io/Logging_0882/tillsyn/A 17193-2023 tillsynsbegäran.docx", "A 17193-2023")</f>
        <v/>
      </c>
      <c r="AD60">
        <f>HYPERLINK("https://klasma.github.io/Logging_0882/tillsynsmail/A 17193-2023 tillsynsbegäran mail.docx", "A 17193-2023")</f>
        <v/>
      </c>
    </row>
    <row r="61" ht="15" customHeight="1">
      <c r="A61" t="inlineStr">
        <is>
          <t>A 5111-2024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46253</v>
      </c>
      <c r="F61" t="inlineStr">
        <is>
          <t>KALMAR LÄN</t>
        </is>
      </c>
      <c r="G61" t="inlineStr">
        <is>
          <t>OSKARSHAMN</t>
        </is>
      </c>
      <c r="I61" t="n">
        <v>1.3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Knärot</t>
        </is>
      </c>
      <c r="W61">
        <f>HYPERLINK("https://klasma.github.io/Logging_0882/artfynd/A 5111-2024 artfynd.xlsx", "A 5111-2024")</f>
        <v/>
      </c>
      <c r="X61">
        <f>HYPERLINK("https://klasma.github.io/Logging_0882/kartor/A 5111-2024 karta.png", "A 5111-2024")</f>
        <v/>
      </c>
      <c r="Y61">
        <f>HYPERLINK("https://klasma.github.io/Logging_0882/kartor_geotiff/A 5111-2024 georefererad karta.tif", "A 5111-2024")</f>
        <v/>
      </c>
      <c r="Z61">
        <f>HYPERLINK("https://klasma.github.io/Logging_0882/knärot/A 5111-2024 karta knärot.png", "A 5111-2024")</f>
        <v/>
      </c>
      <c r="AA61">
        <f>HYPERLINK("https://klasma.github.io/Logging_0882/klagomål/A 5111-2024 FSC-klagomål.docx", "A 5111-2024")</f>
        <v/>
      </c>
      <c r="AB61">
        <f>HYPERLINK("https://klasma.github.io/Logging_0882/klagomålsmail/A 5111-2024 FSC-klagomål mail.docx", "A 5111-2024")</f>
        <v/>
      </c>
      <c r="AC61">
        <f>HYPERLINK("https://klasma.github.io/Logging_0882/tillsyn/A 5111-2024 tillsynsbegäran.docx", "A 5111-2024")</f>
        <v/>
      </c>
      <c r="AD61">
        <f>HYPERLINK("https://klasma.github.io/Logging_0882/tillsynsmail/A 5111-2024 tillsynsbegäran mail.docx", "A 5111-2024")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46253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46253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46253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46253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46253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46253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46253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46253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46253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46253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46253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46253</v>
      </c>
      <c r="F73" t="inlineStr">
        <is>
          <t>KALMAR LÄN</t>
        </is>
      </c>
      <c r="G73" t="inlineStr">
        <is>
          <t>OSKARSHAMN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46253</v>
      </c>
      <c r="F74" t="inlineStr">
        <is>
          <t>KALMAR LÄN</t>
        </is>
      </c>
      <c r="G74" t="inlineStr">
        <is>
          <t>OSKARSHAMN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65320-2021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46253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46253</v>
      </c>
      <c r="F76" t="inlineStr">
        <is>
          <t>KALMAR LÄN</t>
        </is>
      </c>
      <c r="G76" t="inlineStr">
        <is>
          <t>OSKARSHAMN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44603</v>
      </c>
      <c r="E77" s="1" t="n">
        <v>46253</v>
      </c>
      <c r="F77" t="inlineStr">
        <is>
          <t>KALMAR LÄN</t>
        </is>
      </c>
      <c r="G77" t="inlineStr">
        <is>
          <t>OSKARSHAMN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46253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46253</v>
      </c>
      <c r="F79" t="inlineStr">
        <is>
          <t>KALMAR LÄN</t>
        </is>
      </c>
      <c r="G79" t="inlineStr">
        <is>
          <t>OSKARSHAMN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44443</v>
      </c>
      <c r="E81" s="1" t="n">
        <v>46253</v>
      </c>
      <c r="F81" t="inlineStr">
        <is>
          <t>KALMAR LÄN</t>
        </is>
      </c>
      <c r="G81" t="inlineStr">
        <is>
          <t>OSKARSHAMN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47843-2022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44855</v>
      </c>
      <c r="E82" s="1" t="n">
        <v>46253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44761</v>
      </c>
      <c r="E83" s="1" t="n">
        <v>46253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46253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46253</v>
      </c>
      <c r="F85" t="inlineStr">
        <is>
          <t>KALMAR LÄN</t>
        </is>
      </c>
      <c r="G85" t="inlineStr">
        <is>
          <t>OSKARSHAMN</t>
        </is>
      </c>
      <c r="H85" t="inlineStr">
        <is>
          <t>Övriga Aktiebolag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46253</v>
      </c>
      <c r="F86" t="inlineStr">
        <is>
          <t>KALMAR LÄN</t>
        </is>
      </c>
      <c r="G86" t="inlineStr">
        <is>
          <t>OSKARSHAMN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46253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71339-2021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46253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72736-2021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44546</v>
      </c>
      <c r="E89" s="1" t="n">
        <v>46253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44483</v>
      </c>
      <c r="E90" s="1" t="n">
        <v>46253</v>
      </c>
      <c r="F90" t="inlineStr">
        <is>
          <t>KALMAR LÄN</t>
        </is>
      </c>
      <c r="G90" t="inlineStr">
        <is>
          <t>OSKARSHAMN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44428</v>
      </c>
      <c r="E91" s="1" t="n">
        <v>46253</v>
      </c>
      <c r="F91" t="inlineStr">
        <is>
          <t>KALMAR LÄN</t>
        </is>
      </c>
      <c r="G91" t="inlineStr">
        <is>
          <t>OSKARSHAMN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46253</v>
      </c>
      <c r="F92" t="inlineStr">
        <is>
          <t>KALMAR LÄN</t>
        </is>
      </c>
      <c r="G92" t="inlineStr">
        <is>
          <t>OSKARSHAMN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44497</v>
      </c>
      <c r="E93" s="1" t="n">
        <v>46253</v>
      </c>
      <c r="F93" t="inlineStr">
        <is>
          <t>KALMAR LÄN</t>
        </is>
      </c>
      <c r="G93" t="inlineStr">
        <is>
          <t>OSKARSHAMN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44711</v>
      </c>
      <c r="E94" s="1" t="n">
        <v>46253</v>
      </c>
      <c r="F94" t="inlineStr">
        <is>
          <t>KALMAR LÄN</t>
        </is>
      </c>
      <c r="G94" t="inlineStr">
        <is>
          <t>OSKARSHAMN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46253</v>
      </c>
      <c r="F95" t="inlineStr">
        <is>
          <t>KALMAR LÄN</t>
        </is>
      </c>
      <c r="G95" t="inlineStr">
        <is>
          <t>OSKARSHAMN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46253</v>
      </c>
      <c r="F96" t="inlineStr">
        <is>
          <t>KALMAR LÄN</t>
        </is>
      </c>
      <c r="G96" t="inlineStr">
        <is>
          <t>OSKARSHAMN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46253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44704</v>
      </c>
      <c r="E98" s="1" t="n">
        <v>46253</v>
      </c>
      <c r="F98" t="inlineStr">
        <is>
          <t>KALMAR LÄN</t>
        </is>
      </c>
      <c r="G98" t="inlineStr">
        <is>
          <t>OSKARSHAMN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46253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46253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46253</v>
      </c>
      <c r="F101" t="inlineStr">
        <is>
          <t>KALMAR LÄN</t>
        </is>
      </c>
      <c r="G101" t="inlineStr">
        <is>
          <t>OSKARSHAMN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46253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46253</v>
      </c>
      <c r="F103" t="inlineStr">
        <is>
          <t>KALMAR LÄN</t>
        </is>
      </c>
      <c r="G103" t="inlineStr">
        <is>
          <t>OSKARSHAMN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44869</v>
      </c>
      <c r="E104" s="1" t="n">
        <v>46253</v>
      </c>
      <c r="F104" t="inlineStr">
        <is>
          <t>KALMAR LÄN</t>
        </is>
      </c>
      <c r="G104" t="inlineStr">
        <is>
          <t>OSKARSHAMN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46253</v>
      </c>
      <c r="F105" t="inlineStr">
        <is>
          <t>KALMAR LÄN</t>
        </is>
      </c>
      <c r="G105" t="inlineStr">
        <is>
          <t>OSKARSHAMN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46253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46253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46253</v>
      </c>
      <c r="F108" t="inlineStr">
        <is>
          <t>KALMAR LÄN</t>
        </is>
      </c>
      <c r="G108" t="inlineStr">
        <is>
          <t>OSKARSHAMN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46253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44593</v>
      </c>
      <c r="E110" s="1" t="n">
        <v>46253</v>
      </c>
      <c r="F110" t="inlineStr">
        <is>
          <t>KALMAR LÄN</t>
        </is>
      </c>
      <c r="G110" t="inlineStr">
        <is>
          <t>OSKARSHAMN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44685</v>
      </c>
      <c r="E111" s="1" t="n">
        <v>46253</v>
      </c>
      <c r="F111" t="inlineStr">
        <is>
          <t>KALMAR LÄN</t>
        </is>
      </c>
      <c r="G111" t="inlineStr">
        <is>
          <t>OSKARSHAMN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44756</v>
      </c>
      <c r="E112" s="1" t="n">
        <v>46253</v>
      </c>
      <c r="F112" t="inlineStr">
        <is>
          <t>KALMAR LÄN</t>
        </is>
      </c>
      <c r="G112" t="inlineStr">
        <is>
          <t>OSKARSHAMN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44756</v>
      </c>
      <c r="E113" s="1" t="n">
        <v>46253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46253</v>
      </c>
      <c r="F114" t="inlineStr">
        <is>
          <t>KALMAR LÄN</t>
        </is>
      </c>
      <c r="G114" t="inlineStr">
        <is>
          <t>OSKARSHAMN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46253</v>
      </c>
      <c r="F115" t="inlineStr">
        <is>
          <t>KALMAR LÄN</t>
        </is>
      </c>
      <c r="G115" t="inlineStr">
        <is>
          <t>OSKARSHAMN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44818</v>
      </c>
      <c r="E116" s="1" t="n">
        <v>46253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46253</v>
      </c>
      <c r="F117" t="inlineStr">
        <is>
          <t>KALMAR LÄN</t>
        </is>
      </c>
      <c r="G117" t="inlineStr">
        <is>
          <t>OSKARSHAMN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44789</v>
      </c>
      <c r="E118" s="1" t="n">
        <v>46253</v>
      </c>
      <c r="F118" t="inlineStr">
        <is>
          <t>KALMAR LÄN</t>
        </is>
      </c>
      <c r="G118" t="inlineStr">
        <is>
          <t>OSKARSHAMN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46253</v>
      </c>
      <c r="F119" t="inlineStr">
        <is>
          <t>KALMAR LÄN</t>
        </is>
      </c>
      <c r="G119" t="inlineStr">
        <is>
          <t>OSKARSHAMN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46253</v>
      </c>
      <c r="F120" t="inlineStr">
        <is>
          <t>KALMAR LÄN</t>
        </is>
      </c>
      <c r="G120" t="inlineStr">
        <is>
          <t>OSKARSHAMN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46253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46253</v>
      </c>
      <c r="F122" t="inlineStr">
        <is>
          <t>KALMAR LÄN</t>
        </is>
      </c>
      <c r="G122" t="inlineStr">
        <is>
          <t>OSKARSHAMN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46253</v>
      </c>
      <c r="F123" t="inlineStr">
        <is>
          <t>KALMAR LÄN</t>
        </is>
      </c>
      <c r="G123" t="inlineStr">
        <is>
          <t>OSKARSHAMN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46253</v>
      </c>
      <c r="F124" t="inlineStr">
        <is>
          <t>KALMAR LÄN</t>
        </is>
      </c>
      <c r="G124" t="inlineStr">
        <is>
          <t>OSKARSHAMN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46253</v>
      </c>
      <c r="F125" t="inlineStr">
        <is>
          <t>KALMAR LÄN</t>
        </is>
      </c>
      <c r="G125" t="inlineStr">
        <is>
          <t>OSKARSHAMN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45407</v>
      </c>
      <c r="E126" s="1" t="n">
        <v>46253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45097</v>
      </c>
      <c r="E127" s="1" t="n">
        <v>46253</v>
      </c>
      <c r="F127" t="inlineStr">
        <is>
          <t>KALMAR LÄN</t>
        </is>
      </c>
      <c r="G127" t="inlineStr">
        <is>
          <t>OSKARSHAMN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46253</v>
      </c>
      <c r="F128" t="inlineStr">
        <is>
          <t>KALMAR LÄN</t>
        </is>
      </c>
      <c r="G128" t="inlineStr">
        <is>
          <t>OSKARSHAMN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45691</v>
      </c>
      <c r="E129" s="1" t="n">
        <v>46253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45216</v>
      </c>
      <c r="E130" s="1" t="n">
        <v>46253</v>
      </c>
      <c r="F130" t="inlineStr">
        <is>
          <t>KALMAR LÄN</t>
        </is>
      </c>
      <c r="G130" t="inlineStr">
        <is>
          <t>OSKARSHAMN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46253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46253</v>
      </c>
      <c r="F132" t="inlineStr">
        <is>
          <t>KALMAR LÄN</t>
        </is>
      </c>
      <c r="G132" t="inlineStr">
        <is>
          <t>OSKARSHAMN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45493-2021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44440</v>
      </c>
      <c r="E133" s="1" t="n">
        <v>46253</v>
      </c>
      <c r="F133" t="inlineStr">
        <is>
          <t>KALMAR LÄN</t>
        </is>
      </c>
      <c r="G133" t="inlineStr">
        <is>
          <t>OSKARSHAMN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44963</v>
      </c>
      <c r="E134" s="1" t="n">
        <v>46253</v>
      </c>
      <c r="F134" t="inlineStr">
        <is>
          <t>KALMAR LÄN</t>
        </is>
      </c>
      <c r="G134" t="inlineStr">
        <is>
          <t>OSKARSHAMN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46253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46253</v>
      </c>
      <c r="F136" t="inlineStr">
        <is>
          <t>KALMAR LÄN</t>
        </is>
      </c>
      <c r="G136" t="inlineStr">
        <is>
          <t>OSKARSHAMN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46253</v>
      </c>
      <c r="F137" t="inlineStr">
        <is>
          <t>KALMAR LÄN</t>
        </is>
      </c>
      <c r="G137" t="inlineStr">
        <is>
          <t>OSKARSHAMN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45323</v>
      </c>
      <c r="E138" s="1" t="n">
        <v>46253</v>
      </c>
      <c r="F138" t="inlineStr">
        <is>
          <t>KALMAR LÄN</t>
        </is>
      </c>
      <c r="G138" t="inlineStr">
        <is>
          <t>OSKARSHAMN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45314</v>
      </c>
      <c r="E139" s="1" t="n">
        <v>46253</v>
      </c>
      <c r="F139" t="inlineStr">
        <is>
          <t>KALMAR LÄN</t>
        </is>
      </c>
      <c r="G139" t="inlineStr">
        <is>
          <t>OSKARSHAMN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45490</v>
      </c>
      <c r="E140" s="1" t="n">
        <v>46253</v>
      </c>
      <c r="F140" t="inlineStr">
        <is>
          <t>KALMAR LÄN</t>
        </is>
      </c>
      <c r="G140" t="inlineStr">
        <is>
          <t>OSKARSHAMN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46253</v>
      </c>
      <c r="F141" t="inlineStr">
        <is>
          <t>KALMAR LÄN</t>
        </is>
      </c>
      <c r="G141" t="inlineStr">
        <is>
          <t>OSKARSHAMN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45483</v>
      </c>
      <c r="E142" s="1" t="n">
        <v>46253</v>
      </c>
      <c r="F142" t="inlineStr">
        <is>
          <t>KALMAR LÄN</t>
        </is>
      </c>
      <c r="G142" t="inlineStr">
        <is>
          <t>OSKARSHAMN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51383-2021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46253</v>
      </c>
      <c r="F143" t="inlineStr">
        <is>
          <t>KALMAR LÄN</t>
        </is>
      </c>
      <c r="G143" t="inlineStr">
        <is>
          <t>OSKARSHAMN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46253</v>
      </c>
      <c r="F144" t="inlineStr">
        <is>
          <t>KALMAR LÄN</t>
        </is>
      </c>
      <c r="G144" t="inlineStr">
        <is>
          <t>OSKARSHAMN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46253</v>
      </c>
      <c r="F145" t="inlineStr">
        <is>
          <t>KALMAR LÄN</t>
        </is>
      </c>
      <c r="G145" t="inlineStr">
        <is>
          <t>OSKARSHAMN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46253</v>
      </c>
      <c r="F146" t="inlineStr">
        <is>
          <t>KALMAR LÄN</t>
        </is>
      </c>
      <c r="G146" t="inlineStr">
        <is>
          <t>OSKARSHAMN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46253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46253</v>
      </c>
      <c r="F148" t="inlineStr">
        <is>
          <t>KALMAR LÄN</t>
        </is>
      </c>
      <c r="G148" t="inlineStr">
        <is>
          <t>OSKARSHAMN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45012</v>
      </c>
      <c r="E149" s="1" t="n">
        <v>46253</v>
      </c>
      <c r="F149" t="inlineStr">
        <is>
          <t>KALMAR LÄN</t>
        </is>
      </c>
      <c r="G149" t="inlineStr">
        <is>
          <t>OSKARSHAMN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44981</v>
      </c>
      <c r="E150" s="1" t="n">
        <v>46253</v>
      </c>
      <c r="F150" t="inlineStr">
        <is>
          <t>KALMAR LÄN</t>
        </is>
      </c>
      <c r="G150" t="inlineStr">
        <is>
          <t>OSKARSHAMN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46253</v>
      </c>
      <c r="F151" t="inlineStr">
        <is>
          <t>KALMAR LÄN</t>
        </is>
      </c>
      <c r="G151" t="inlineStr">
        <is>
          <t>OSKARSHAMN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46253</v>
      </c>
      <c r="F152" t="inlineStr">
        <is>
          <t>KALMAR LÄN</t>
        </is>
      </c>
      <c r="G152" t="inlineStr">
        <is>
          <t>OSKARSHAMN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46253</v>
      </c>
      <c r="F153" t="inlineStr">
        <is>
          <t>KALMAR LÄN</t>
        </is>
      </c>
      <c r="G153" t="inlineStr">
        <is>
          <t>OSKARSHAMN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46253</v>
      </c>
      <c r="F154" t="inlineStr">
        <is>
          <t>KALMAR LÄN</t>
        </is>
      </c>
      <c r="G154" t="inlineStr">
        <is>
          <t>OSKARSHAMN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46253</v>
      </c>
      <c r="F155" t="inlineStr">
        <is>
          <t>KALMAR LÄN</t>
        </is>
      </c>
      <c r="G155" t="inlineStr">
        <is>
          <t>OSKARSHAMN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46253</v>
      </c>
      <c r="F156" t="inlineStr">
        <is>
          <t>KALMAR LÄN</t>
        </is>
      </c>
      <c r="G156" t="inlineStr">
        <is>
          <t>OSKARSHAMN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44490</v>
      </c>
      <c r="E157" s="1" t="n">
        <v>46253</v>
      </c>
      <c r="F157" t="inlineStr">
        <is>
          <t>KALMAR LÄN</t>
        </is>
      </c>
      <c r="G157" t="inlineStr">
        <is>
          <t>OSKARSHAMN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46253</v>
      </c>
      <c r="F158" t="inlineStr">
        <is>
          <t>KALMAR LÄN</t>
        </is>
      </c>
      <c r="G158" t="inlineStr">
        <is>
          <t>OSKARSHAMN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46253</v>
      </c>
      <c r="F159" t="inlineStr">
        <is>
          <t>KALMAR LÄN</t>
        </is>
      </c>
      <c r="G159" t="inlineStr">
        <is>
          <t>OSKARSHAMN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26127-2025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45805</v>
      </c>
      <c r="E160" s="1" t="n">
        <v>46253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44995</v>
      </c>
      <c r="E161" s="1" t="n">
        <v>46253</v>
      </c>
      <c r="F161" t="inlineStr">
        <is>
          <t>KALMAR LÄN</t>
        </is>
      </c>
      <c r="G161" t="inlineStr">
        <is>
          <t>OSKARSHAMN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71342-2021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44539</v>
      </c>
      <c r="E162" s="1" t="n">
        <v>46253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46253</v>
      </c>
      <c r="F163" t="inlineStr">
        <is>
          <t>KALMAR LÄN</t>
        </is>
      </c>
      <c r="G163" t="inlineStr">
        <is>
          <t>OSKARSHAMN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46253</v>
      </c>
      <c r="F164" t="inlineStr">
        <is>
          <t>KALMAR LÄN</t>
        </is>
      </c>
      <c r="G164" t="inlineStr">
        <is>
          <t>OSKARSHAMN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46253</v>
      </c>
      <c r="F165" t="inlineStr">
        <is>
          <t>KALMAR LÄN</t>
        </is>
      </c>
      <c r="G165" t="inlineStr">
        <is>
          <t>OSKARSHAMN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46253</v>
      </c>
      <c r="F166" t="inlineStr">
        <is>
          <t>KALMAR LÄN</t>
        </is>
      </c>
      <c r="G166" t="inlineStr">
        <is>
          <t>OSKARSHAMN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46253</v>
      </c>
      <c r="F167" t="inlineStr">
        <is>
          <t>KALMAR LÄN</t>
        </is>
      </c>
      <c r="G167" t="inlineStr">
        <is>
          <t>OSKARSHAMN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46253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46253</v>
      </c>
      <c r="F169" t="inlineStr">
        <is>
          <t>KALMAR LÄN</t>
        </is>
      </c>
      <c r="G169" t="inlineStr">
        <is>
          <t>OSKARSHAMN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45572</v>
      </c>
      <c r="E170" s="1" t="n">
        <v>46253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46253</v>
      </c>
      <c r="F171" t="inlineStr">
        <is>
          <t>KALMAR LÄN</t>
        </is>
      </c>
      <c r="G171" t="inlineStr">
        <is>
          <t>OSKARSHAMN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46253</v>
      </c>
      <c r="F172" t="inlineStr">
        <is>
          <t>KALMAR LÄN</t>
        </is>
      </c>
      <c r="G172" t="inlineStr">
        <is>
          <t>OSKARSHAMN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46253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45567</v>
      </c>
      <c r="E174" s="1" t="n">
        <v>46253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45560</v>
      </c>
      <c r="E175" s="1" t="n">
        <v>46253</v>
      </c>
      <c r="F175" t="inlineStr">
        <is>
          <t>KALMAR LÄN</t>
        </is>
      </c>
      <c r="G175" t="inlineStr">
        <is>
          <t>OSKARSHAMN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45709</v>
      </c>
      <c r="E176" s="1" t="n">
        <v>46253</v>
      </c>
      <c r="F176" t="inlineStr">
        <is>
          <t>KALMAR LÄN</t>
        </is>
      </c>
      <c r="G176" t="inlineStr">
        <is>
          <t>OSKARSHAMN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46253</v>
      </c>
      <c r="F177" t="inlineStr">
        <is>
          <t>KALMAR LÄN</t>
        </is>
      </c>
      <c r="G177" t="inlineStr">
        <is>
          <t>OSKARSHAMN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46253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46253</v>
      </c>
      <c r="F179" t="inlineStr">
        <is>
          <t>KALMAR LÄN</t>
        </is>
      </c>
      <c r="G179" t="inlineStr">
        <is>
          <t>OSKARSHAMN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46253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44630</v>
      </c>
      <c r="E181" s="1" t="n">
        <v>46253</v>
      </c>
      <c r="F181" t="inlineStr">
        <is>
          <t>KALMAR LÄN</t>
        </is>
      </c>
      <c r="G181" t="inlineStr">
        <is>
          <t>OSKARSHAMN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46253</v>
      </c>
      <c r="F182" t="inlineStr">
        <is>
          <t>KALMAR LÄN</t>
        </is>
      </c>
      <c r="G182" t="inlineStr">
        <is>
          <t>OSKARSHAMN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45784</v>
      </c>
      <c r="E183" s="1" t="n">
        <v>46253</v>
      </c>
      <c r="F183" t="inlineStr">
        <is>
          <t>KALMAR LÄN</t>
        </is>
      </c>
      <c r="G183" t="inlineStr">
        <is>
          <t>OSKARSHAMN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44467</v>
      </c>
      <c r="E184" s="1" t="n">
        <v>46253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46253</v>
      </c>
      <c r="F185" t="inlineStr">
        <is>
          <t>KALMAR LÄN</t>
        </is>
      </c>
      <c r="G185" t="inlineStr">
        <is>
          <t>OSKARSHAMN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46253</v>
      </c>
      <c r="F186" t="inlineStr">
        <is>
          <t>KALMAR LÄN</t>
        </is>
      </c>
      <c r="G186" t="inlineStr">
        <is>
          <t>OSKARSHAMN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46253</v>
      </c>
      <c r="F187" t="inlineStr">
        <is>
          <t>KALMAR LÄN</t>
        </is>
      </c>
      <c r="G187" t="inlineStr">
        <is>
          <t>OSKARSHAMN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62995-2025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46009</v>
      </c>
      <c r="E188" s="1" t="n">
        <v>46253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46253</v>
      </c>
      <c r="F189" t="inlineStr">
        <is>
          <t>KALMAR LÄN</t>
        </is>
      </c>
      <c r="G189" t="inlineStr">
        <is>
          <t>OSKARSHAMN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46253</v>
      </c>
      <c r="F190" t="inlineStr">
        <is>
          <t>KALMAR LÄN</t>
        </is>
      </c>
      <c r="G190" t="inlineStr">
        <is>
          <t>OSKARSHAMN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46253</v>
      </c>
      <c r="F191" t="inlineStr">
        <is>
          <t>KALMAR LÄN</t>
        </is>
      </c>
      <c r="G191" t="inlineStr">
        <is>
          <t>OSKARSHAMN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46253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46253</v>
      </c>
      <c r="F193" t="inlineStr">
        <is>
          <t>KALMAR LÄN</t>
        </is>
      </c>
      <c r="G193" t="inlineStr">
        <is>
          <t>OSKARSHAMN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46253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46253</v>
      </c>
      <c r="F195" t="inlineStr">
        <is>
          <t>KALMAR LÄN</t>
        </is>
      </c>
      <c r="G195" t="inlineStr">
        <is>
          <t>OSKARSHAMN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46253</v>
      </c>
      <c r="F196" t="inlineStr">
        <is>
          <t>KALMAR LÄN</t>
        </is>
      </c>
      <c r="G196" t="inlineStr">
        <is>
          <t>OSKARSHAMN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45691</v>
      </c>
      <c r="E197" s="1" t="n">
        <v>46253</v>
      </c>
      <c r="F197" t="inlineStr">
        <is>
          <t>KALMAR LÄN</t>
        </is>
      </c>
      <c r="G197" t="inlineStr">
        <is>
          <t>OSKARSHAMN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45182</v>
      </c>
      <c r="E198" s="1" t="n">
        <v>46253</v>
      </c>
      <c r="F198" t="inlineStr">
        <is>
          <t>KALMAR LÄN</t>
        </is>
      </c>
      <c r="G198" t="inlineStr">
        <is>
          <t>OSKARSHAMN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45580</v>
      </c>
      <c r="E199" s="1" t="n">
        <v>46253</v>
      </c>
      <c r="F199" t="inlineStr">
        <is>
          <t>KALMAR LÄN</t>
        </is>
      </c>
      <c r="G199" t="inlineStr">
        <is>
          <t>OSKARSHAMN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46253</v>
      </c>
      <c r="F200" t="inlineStr">
        <is>
          <t>KALMAR LÄN</t>
        </is>
      </c>
      <c r="G200" t="inlineStr">
        <is>
          <t>OSKARSHAMN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46253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46253</v>
      </c>
      <c r="F202" t="inlineStr">
        <is>
          <t>KALMAR LÄN</t>
        </is>
      </c>
      <c r="G202" t="inlineStr">
        <is>
          <t>OSKARSHAMN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45523</v>
      </c>
      <c r="E203" s="1" t="n">
        <v>46253</v>
      </c>
      <c r="F203" t="inlineStr">
        <is>
          <t>KALMAR LÄN</t>
        </is>
      </c>
      <c r="G203" t="inlineStr">
        <is>
          <t>OSKARSHAMN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46253</v>
      </c>
      <c r="F204" t="inlineStr">
        <is>
          <t>KALMAR LÄN</t>
        </is>
      </c>
      <c r="G204" t="inlineStr">
        <is>
          <t>OSKARSHAMN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46253</v>
      </c>
      <c r="F205" t="inlineStr">
        <is>
          <t>KALMAR LÄN</t>
        </is>
      </c>
      <c r="G205" t="inlineStr">
        <is>
          <t>OSKARSHAMN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46253</v>
      </c>
      <c r="F206" t="inlineStr">
        <is>
          <t>KALMAR LÄN</t>
        </is>
      </c>
      <c r="G206" t="inlineStr">
        <is>
          <t>OSKARSHAMN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45784</v>
      </c>
      <c r="E207" s="1" t="n">
        <v>46253</v>
      </c>
      <c r="F207" t="inlineStr">
        <is>
          <t>KALMAR LÄN</t>
        </is>
      </c>
      <c r="G207" t="inlineStr">
        <is>
          <t>OSKARSHAMN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22543-2022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44713</v>
      </c>
      <c r="E208" s="1" t="n">
        <v>46253</v>
      </c>
      <c r="F208" t="inlineStr">
        <is>
          <t>KALMAR LÄN</t>
        </is>
      </c>
      <c r="G208" t="inlineStr">
        <is>
          <t>OSKARSHAMN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46253</v>
      </c>
      <c r="F209" t="inlineStr">
        <is>
          <t>KALMAR LÄN</t>
        </is>
      </c>
      <c r="G209" t="inlineStr">
        <is>
          <t>OSKARSHAMN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46253</v>
      </c>
      <c r="F210" t="inlineStr">
        <is>
          <t>KALMAR LÄN</t>
        </is>
      </c>
      <c r="G210" t="inlineStr">
        <is>
          <t>OSKARSHAMN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46253</v>
      </c>
      <c r="F211" t="inlineStr">
        <is>
          <t>KALMAR LÄN</t>
        </is>
      </c>
      <c r="G211" t="inlineStr">
        <is>
          <t>OSKARSHAMN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46253</v>
      </c>
      <c r="F212" t="inlineStr">
        <is>
          <t>KALMAR LÄN</t>
        </is>
      </c>
      <c r="G212" t="inlineStr">
        <is>
          <t>OSKARSHAMN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46253</v>
      </c>
      <c r="F213" t="inlineStr">
        <is>
          <t>KALMAR LÄN</t>
        </is>
      </c>
      <c r="G213" t="inlineStr">
        <is>
          <t>OSKARSHAMN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50572-2024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45601</v>
      </c>
      <c r="E214" s="1" t="n">
        <v>46253</v>
      </c>
      <c r="F214" t="inlineStr">
        <is>
          <t>KALMAR LÄN</t>
        </is>
      </c>
      <c r="G214" t="inlineStr">
        <is>
          <t>OSKARSHAMN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42751-2025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45908</v>
      </c>
      <c r="E215" s="1" t="n">
        <v>46253</v>
      </c>
      <c r="F215" t="inlineStr">
        <is>
          <t>KALMAR LÄN</t>
        </is>
      </c>
      <c r="G215" t="inlineStr">
        <is>
          <t>OSKARSHAMN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46253</v>
      </c>
      <c r="F216" t="inlineStr">
        <is>
          <t>KALMAR LÄN</t>
        </is>
      </c>
      <c r="G216" t="inlineStr">
        <is>
          <t>OSKARSHAMN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46253</v>
      </c>
      <c r="F217" t="inlineStr">
        <is>
          <t>KALMAR LÄN</t>
        </is>
      </c>
      <c r="G217" t="inlineStr">
        <is>
          <t>OSKARSHAMN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42693-2025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45908</v>
      </c>
      <c r="E218" s="1" t="n">
        <v>46253</v>
      </c>
      <c r="F218" t="inlineStr">
        <is>
          <t>KALMAR LÄN</t>
        </is>
      </c>
      <c r="G218" t="inlineStr">
        <is>
          <t>OSKARSHAMN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46253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45113</v>
      </c>
      <c r="E220" s="1" t="n">
        <v>46253</v>
      </c>
      <c r="F220" t="inlineStr">
        <is>
          <t>KALMAR LÄN</t>
        </is>
      </c>
      <c r="G220" t="inlineStr">
        <is>
          <t>OSKARSHAMN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46253</v>
      </c>
      <c r="F221" t="inlineStr">
        <is>
          <t>KALMAR LÄN</t>
        </is>
      </c>
      <c r="G221" t="inlineStr">
        <is>
          <t>OSKARSHAMN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46253</v>
      </c>
      <c r="F222" t="inlineStr">
        <is>
          <t>KALMAR LÄN</t>
        </is>
      </c>
      <c r="G222" t="inlineStr">
        <is>
          <t>OSKARSHAMN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46253</v>
      </c>
      <c r="F223" t="inlineStr">
        <is>
          <t>KALMAR LÄN</t>
        </is>
      </c>
      <c r="G223" t="inlineStr">
        <is>
          <t>OSKARSHAMN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46253</v>
      </c>
      <c r="F224" t="inlineStr">
        <is>
          <t>KALMAR LÄN</t>
        </is>
      </c>
      <c r="G224" t="inlineStr">
        <is>
          <t>OSKARSHAMN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46253</v>
      </c>
      <c r="F225" t="inlineStr">
        <is>
          <t>KALMAR LÄN</t>
        </is>
      </c>
      <c r="G225" t="inlineStr">
        <is>
          <t>OSKARSHAMN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44987</v>
      </c>
      <c r="E226" s="1" t="n">
        <v>46253</v>
      </c>
      <c r="F226" t="inlineStr">
        <is>
          <t>KALMAR LÄN</t>
        </is>
      </c>
      <c r="G226" t="inlineStr">
        <is>
          <t>OSKARSHAMN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46091</v>
      </c>
      <c r="E227" s="1" t="n">
        <v>46253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46253</v>
      </c>
      <c r="F228" t="inlineStr">
        <is>
          <t>KALMAR LÄN</t>
        </is>
      </c>
      <c r="G228" t="inlineStr">
        <is>
          <t>OSKARSHAMN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46253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46253</v>
      </c>
      <c r="F230" t="inlineStr">
        <is>
          <t>KALMAR LÄN</t>
        </is>
      </c>
      <c r="G230" t="inlineStr">
        <is>
          <t>OSKARSHAMN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45385</v>
      </c>
      <c r="E231" s="1" t="n">
        <v>46253</v>
      </c>
      <c r="F231" t="inlineStr">
        <is>
          <t>KALMAR LÄN</t>
        </is>
      </c>
      <c r="G231" t="inlineStr">
        <is>
          <t>OSKARSHAMN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8656-2022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44613</v>
      </c>
      <c r="E232" s="1" t="n">
        <v>46253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46253</v>
      </c>
      <c r="F233" t="inlineStr">
        <is>
          <t>KALMAR LÄN</t>
        </is>
      </c>
      <c r="G233" t="inlineStr">
        <is>
          <t>OSKARSHAMN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46253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46253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46253</v>
      </c>
      <c r="F236" t="inlineStr">
        <is>
          <t>KALMAR LÄN</t>
        </is>
      </c>
      <c r="G236" t="inlineStr">
        <is>
          <t>OSKARSHAMN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46253</v>
      </c>
      <c r="F237" t="inlineStr">
        <is>
          <t>KALMAR LÄN</t>
        </is>
      </c>
      <c r="G237" t="inlineStr">
        <is>
          <t>OSKARSHAMN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46253</v>
      </c>
      <c r="F238" t="inlineStr">
        <is>
          <t>KALMAR LÄN</t>
        </is>
      </c>
      <c r="G238" t="inlineStr">
        <is>
          <t>OSKARSHAMN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46253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46253</v>
      </c>
      <c r="F240" t="inlineStr">
        <is>
          <t>KALMAR LÄN</t>
        </is>
      </c>
      <c r="G240" t="inlineStr">
        <is>
          <t>OSKARSHAMN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46253</v>
      </c>
      <c r="F241" t="inlineStr">
        <is>
          <t>KALMAR LÄN</t>
        </is>
      </c>
      <c r="G241" t="inlineStr">
        <is>
          <t>OSKARSHAMN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46253</v>
      </c>
      <c r="F242" t="inlineStr">
        <is>
          <t>KALMAR LÄN</t>
        </is>
      </c>
      <c r="G242" t="inlineStr">
        <is>
          <t>OSKARSHAMN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46253</v>
      </c>
      <c r="F243" t="inlineStr">
        <is>
          <t>KALMAR LÄN</t>
        </is>
      </c>
      <c r="G243" t="inlineStr">
        <is>
          <t>OSKARSHAMN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46253</v>
      </c>
      <c r="F244" t="inlineStr">
        <is>
          <t>KALMAR LÄN</t>
        </is>
      </c>
      <c r="G244" t="inlineStr">
        <is>
          <t>OSKARSHAMN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46253</v>
      </c>
      <c r="F245" t="inlineStr">
        <is>
          <t>KALMAR LÄN</t>
        </is>
      </c>
      <c r="G245" t="inlineStr">
        <is>
          <t>OSKARSHAMN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46253</v>
      </c>
      <c r="F246" t="inlineStr">
        <is>
          <t>KALMAR LÄN</t>
        </is>
      </c>
      <c r="G246" t="inlineStr">
        <is>
          <t>OSKARSHAMN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46253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46253</v>
      </c>
      <c r="F248" t="inlineStr">
        <is>
          <t>KALMAR LÄN</t>
        </is>
      </c>
      <c r="G248" t="inlineStr">
        <is>
          <t>OSKARSHAMN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46253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46253</v>
      </c>
      <c r="F250" t="inlineStr">
        <is>
          <t>KALMAR LÄN</t>
        </is>
      </c>
      <c r="G250" t="inlineStr">
        <is>
          <t>OSKARSHAMN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44973</v>
      </c>
      <c r="E251" s="1" t="n">
        <v>46253</v>
      </c>
      <c r="F251" t="inlineStr">
        <is>
          <t>KALMAR LÄN</t>
        </is>
      </c>
      <c r="G251" t="inlineStr">
        <is>
          <t>OSKARSHAMN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46253</v>
      </c>
      <c r="F252" t="inlineStr">
        <is>
          <t>KALMAR LÄN</t>
        </is>
      </c>
      <c r="G252" t="inlineStr">
        <is>
          <t>OSKARSHAMN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46253</v>
      </c>
      <c r="F253" t="inlineStr">
        <is>
          <t>KALMAR LÄN</t>
        </is>
      </c>
      <c r="G253" t="inlineStr">
        <is>
          <t>OSKARSHAMN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13204-2024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45386</v>
      </c>
      <c r="E254" s="1" t="n">
        <v>46253</v>
      </c>
      <c r="F254" t="inlineStr">
        <is>
          <t>KALMAR LÄN</t>
        </is>
      </c>
      <c r="G254" t="inlineStr">
        <is>
          <t>OSKARSHAMN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46253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46253</v>
      </c>
      <c r="F256" t="inlineStr">
        <is>
          <t>KALMAR LÄN</t>
        </is>
      </c>
      <c r="G256" t="inlineStr">
        <is>
          <t>OSKARSHAMN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46253</v>
      </c>
      <c r="F257" t="inlineStr">
        <is>
          <t>KALMAR LÄN</t>
        </is>
      </c>
      <c r="G257" t="inlineStr">
        <is>
          <t>OSKARSHAMN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46253</v>
      </c>
      <c r="F258" t="inlineStr">
        <is>
          <t>KALMAR LÄN</t>
        </is>
      </c>
      <c r="G258" t="inlineStr">
        <is>
          <t>OSKARSHAMN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46253</v>
      </c>
      <c r="F259" t="inlineStr">
        <is>
          <t>KALMAR LÄN</t>
        </is>
      </c>
      <c r="G259" t="inlineStr">
        <is>
          <t>OSKARSHAMN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46253</v>
      </c>
      <c r="F260" t="inlineStr">
        <is>
          <t>KALMAR LÄN</t>
        </is>
      </c>
      <c r="G260" t="inlineStr">
        <is>
          <t>OSKARSHAMN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46253</v>
      </c>
      <c r="F261" t="inlineStr">
        <is>
          <t>KALMAR LÄN</t>
        </is>
      </c>
      <c r="G261" t="inlineStr">
        <is>
          <t>OSKARSHAMN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15525-2026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46106</v>
      </c>
      <c r="E262" s="1" t="n">
        <v>46253</v>
      </c>
      <c r="F262" t="inlineStr">
        <is>
          <t>KALMAR LÄN</t>
        </is>
      </c>
      <c r="G262" t="inlineStr">
        <is>
          <t>OSKARSHAMN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46253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45939</v>
      </c>
      <c r="E264" s="1" t="n">
        <v>46253</v>
      </c>
      <c r="F264" t="inlineStr">
        <is>
          <t>KALMAR LÄN</t>
        </is>
      </c>
      <c r="G264" t="inlineStr">
        <is>
          <t>OSKARSHAMN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46253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15754-2022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44663</v>
      </c>
      <c r="E266" s="1" t="n">
        <v>46253</v>
      </c>
      <c r="F266" t="inlineStr">
        <is>
          <t>KALMAR LÄN</t>
        </is>
      </c>
      <c r="G266" t="inlineStr">
        <is>
          <t>OSKARSHAMN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46253</v>
      </c>
      <c r="F267" t="inlineStr">
        <is>
          <t>KALMAR LÄN</t>
        </is>
      </c>
      <c r="G267" t="inlineStr">
        <is>
          <t>OSKARSHAMN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46253</v>
      </c>
      <c r="F268" t="inlineStr">
        <is>
          <t>KALMAR LÄN</t>
        </is>
      </c>
      <c r="G268" t="inlineStr">
        <is>
          <t>OSKARSHAMN</t>
        </is>
      </c>
      <c r="H268" t="inlineStr">
        <is>
          <t>Kommuner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17047-2026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46114</v>
      </c>
      <c r="E269" s="1" t="n">
        <v>46253</v>
      </c>
      <c r="F269" t="inlineStr">
        <is>
          <t>KALMAR LÄN</t>
        </is>
      </c>
      <c r="G269" t="inlineStr">
        <is>
          <t>OSKARSHAMN</t>
        </is>
      </c>
      <c r="H269" t="inlineStr">
        <is>
          <t>Kommuner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39651-2022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46253</v>
      </c>
      <c r="F270" t="inlineStr">
        <is>
          <t>KALMAR LÄN</t>
        </is>
      </c>
      <c r="G270" t="inlineStr">
        <is>
          <t>OSKARSHAMN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46253</v>
      </c>
      <c r="F271" t="inlineStr">
        <is>
          <t>KALMAR LÄN</t>
        </is>
      </c>
      <c r="G271" t="inlineStr">
        <is>
          <t>OSKARSHAMN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46253</v>
      </c>
      <c r="F272" t="inlineStr">
        <is>
          <t>KALMAR LÄN</t>
        </is>
      </c>
      <c r="G272" t="inlineStr">
        <is>
          <t>OSKARSHAMN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45041</v>
      </c>
      <c r="E273" s="1" t="n">
        <v>46253</v>
      </c>
      <c r="F273" t="inlineStr">
        <is>
          <t>KALMAR LÄN</t>
        </is>
      </c>
      <c r="G273" t="inlineStr">
        <is>
          <t>OSKARSHAMN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14475-2023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45012</v>
      </c>
      <c r="E274" s="1" t="n">
        <v>46253</v>
      </c>
      <c r="F274" t="inlineStr">
        <is>
          <t>KALMAR LÄN</t>
        </is>
      </c>
      <c r="G274" t="inlineStr">
        <is>
          <t>OSKARSHAMN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46253</v>
      </c>
      <c r="F275" t="inlineStr">
        <is>
          <t>KALMAR LÄN</t>
        </is>
      </c>
      <c r="G275" t="inlineStr">
        <is>
          <t>OSKARSHAMN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46253</v>
      </c>
      <c r="F276" t="inlineStr">
        <is>
          <t>KALMAR LÄN</t>
        </is>
      </c>
      <c r="G276" t="inlineStr">
        <is>
          <t>OSKARSHAMN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46253</v>
      </c>
      <c r="F277" t="inlineStr">
        <is>
          <t>KALMAR LÄN</t>
        </is>
      </c>
      <c r="G277" t="inlineStr">
        <is>
          <t>OSKARSHAMN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25867-2022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44733</v>
      </c>
      <c r="E278" s="1" t="n">
        <v>46253</v>
      </c>
      <c r="F278" t="inlineStr">
        <is>
          <t>KALMAR LÄN</t>
        </is>
      </c>
      <c r="G278" t="inlineStr">
        <is>
          <t>OSKARSHAMN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45110</v>
      </c>
      <c r="E279" s="1" t="n">
        <v>46253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46253</v>
      </c>
      <c r="F280" t="inlineStr">
        <is>
          <t>KALMAR LÄN</t>
        </is>
      </c>
      <c r="G280" t="inlineStr">
        <is>
          <t>OSKARSHAMN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46253</v>
      </c>
      <c r="F281" t="inlineStr">
        <is>
          <t>KALMAR LÄN</t>
        </is>
      </c>
      <c r="G281" t="inlineStr">
        <is>
          <t>OSKARSHAMN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46253</v>
      </c>
      <c r="F282" t="inlineStr">
        <is>
          <t>KALMAR LÄN</t>
        </is>
      </c>
      <c r="G282" t="inlineStr">
        <is>
          <t>OSKARSHAMN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46253</v>
      </c>
      <c r="F283" t="inlineStr">
        <is>
          <t>KALMAR LÄN</t>
        </is>
      </c>
      <c r="G283" t="inlineStr">
        <is>
          <t>OSKARSHAMN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18978-2026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46128</v>
      </c>
      <c r="E284" s="1" t="n">
        <v>46253</v>
      </c>
      <c r="F284" t="inlineStr">
        <is>
          <t>KALMAR LÄN</t>
        </is>
      </c>
      <c r="G284" t="inlineStr">
        <is>
          <t>OSKARSHAMN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46253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46253</v>
      </c>
      <c r="F286" t="inlineStr">
        <is>
          <t>KALMAR LÄN</t>
        </is>
      </c>
      <c r="G286" t="inlineStr">
        <is>
          <t>OSKARSHAMN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45320</v>
      </c>
      <c r="E287" s="1" t="n">
        <v>46253</v>
      </c>
      <c r="F287" t="inlineStr">
        <is>
          <t>KALMAR LÄN</t>
        </is>
      </c>
      <c r="G287" t="inlineStr">
        <is>
          <t>OSKARSHAMN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46253</v>
      </c>
      <c r="F288" t="inlineStr">
        <is>
          <t>KALMAR LÄN</t>
        </is>
      </c>
      <c r="G288" t="inlineStr">
        <is>
          <t>OSKARSHAMN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45763</v>
      </c>
      <c r="E289" s="1" t="n">
        <v>46253</v>
      </c>
      <c r="F289" t="inlineStr">
        <is>
          <t>KALMAR LÄN</t>
        </is>
      </c>
      <c r="G289" t="inlineStr">
        <is>
          <t>OSKARSHAMN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46253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46253</v>
      </c>
      <c r="F291" t="inlineStr">
        <is>
          <t>KALMAR LÄN</t>
        </is>
      </c>
      <c r="G291" t="inlineStr">
        <is>
          <t>OSKARSHAMN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46253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46253</v>
      </c>
      <c r="F293" t="inlineStr">
        <is>
          <t>KALMAR LÄN</t>
        </is>
      </c>
      <c r="G293" t="inlineStr">
        <is>
          <t>OSKARSHAMN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46253</v>
      </c>
      <c r="F294" t="inlineStr">
        <is>
          <t>KALMAR LÄN</t>
        </is>
      </c>
      <c r="G294" t="inlineStr">
        <is>
          <t>OSKARSHAMN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46253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48582-2021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44452</v>
      </c>
      <c r="E296" s="1" t="n">
        <v>46253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58095-2022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44900</v>
      </c>
      <c r="E297" s="1" t="n">
        <v>46253</v>
      </c>
      <c r="F297" t="inlineStr">
        <is>
          <t>KALMAR LÄN</t>
        </is>
      </c>
      <c r="G297" t="inlineStr">
        <is>
          <t>OSKARSHAMN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45252</v>
      </c>
      <c r="E298" s="1" t="n">
        <v>46253</v>
      </c>
      <c r="F298" t="inlineStr">
        <is>
          <t>KALMAR LÄN</t>
        </is>
      </c>
      <c r="G298" t="inlineStr">
        <is>
          <t>OSKARSHAMN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43463-2022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44836</v>
      </c>
      <c r="E299" s="1" t="n">
        <v>46253</v>
      </c>
      <c r="F299" t="inlineStr">
        <is>
          <t>KALMAR LÄN</t>
        </is>
      </c>
      <c r="G299" t="inlineStr">
        <is>
          <t>OSKARSHAMN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46253</v>
      </c>
      <c r="F300" t="inlineStr">
        <is>
          <t>KALMAR LÄN</t>
        </is>
      </c>
      <c r="G300" t="inlineStr">
        <is>
          <t>OSKARSHAMN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46253</v>
      </c>
      <c r="F301" t="inlineStr">
        <is>
          <t>KALMAR LÄN</t>
        </is>
      </c>
      <c r="G301" t="inlineStr">
        <is>
          <t>OSKARSHAMN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46253</v>
      </c>
      <c r="F302" t="inlineStr">
        <is>
          <t>KALMAR LÄN</t>
        </is>
      </c>
      <c r="G302" t="inlineStr">
        <is>
          <t>OSKARSHAMN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46253</v>
      </c>
      <c r="F303" t="inlineStr">
        <is>
          <t>KALMAR LÄN</t>
        </is>
      </c>
      <c r="G303" t="inlineStr">
        <is>
          <t>OSKARSHAMN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46253</v>
      </c>
      <c r="F304" t="inlineStr">
        <is>
          <t>KALMAR LÄN</t>
        </is>
      </c>
      <c r="G304" t="inlineStr">
        <is>
          <t>OSKARSHAMN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45435</v>
      </c>
      <c r="E305" s="1" t="n">
        <v>46253</v>
      </c>
      <c r="F305" t="inlineStr">
        <is>
          <t>KALMAR LÄN</t>
        </is>
      </c>
      <c r="G305" t="inlineStr">
        <is>
          <t>OSKARSHAMN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44915</v>
      </c>
      <c r="E306" s="1" t="n">
        <v>46253</v>
      </c>
      <c r="F306" t="inlineStr">
        <is>
          <t>KALMAR LÄN</t>
        </is>
      </c>
      <c r="G306" t="inlineStr">
        <is>
          <t>OSKARSHAMN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45098</v>
      </c>
      <c r="E307" s="1" t="n">
        <v>46253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46253</v>
      </c>
      <c r="F308" t="inlineStr">
        <is>
          <t>KALMAR LÄN</t>
        </is>
      </c>
      <c r="G308" t="inlineStr">
        <is>
          <t>OSKARSHAMN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46253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45369</v>
      </c>
      <c r="E310" s="1" t="n">
        <v>46253</v>
      </c>
      <c r="F310" t="inlineStr">
        <is>
          <t>KALMAR LÄN</t>
        </is>
      </c>
      <c r="G310" t="inlineStr">
        <is>
          <t>OSKARSHAMN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45931</v>
      </c>
      <c r="E311" s="1" t="n">
        <v>46253</v>
      </c>
      <c r="F311" t="inlineStr">
        <is>
          <t>KALMAR LÄN</t>
        </is>
      </c>
      <c r="G311" t="inlineStr">
        <is>
          <t>OSKARSHAMN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12567-2024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46253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45208</v>
      </c>
      <c r="E313" s="1" t="n">
        <v>46253</v>
      </c>
      <c r="F313" t="inlineStr">
        <is>
          <t>KALMAR LÄN</t>
        </is>
      </c>
      <c r="G313" t="inlineStr">
        <is>
          <t>OSKARSHAMN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44489</v>
      </c>
      <c r="E314" s="1" t="n">
        <v>46253</v>
      </c>
      <c r="F314" t="inlineStr">
        <is>
          <t>KALMAR LÄN</t>
        </is>
      </c>
      <c r="G314" t="inlineStr">
        <is>
          <t>OSKARSHAMN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45280</v>
      </c>
      <c r="E315" s="1" t="n">
        <v>46253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46253</v>
      </c>
      <c r="F316" t="inlineStr">
        <is>
          <t>KALMAR LÄN</t>
        </is>
      </c>
      <c r="G316" t="inlineStr">
        <is>
          <t>OSKARSHAMN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45756</v>
      </c>
      <c r="E317" s="1" t="n">
        <v>46253</v>
      </c>
      <c r="F317" t="inlineStr">
        <is>
          <t>KALMAR LÄN</t>
        </is>
      </c>
      <c r="G317" t="inlineStr">
        <is>
          <t>OSKARSHAMN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55185-2025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46253</v>
      </c>
      <c r="F318" t="inlineStr">
        <is>
          <t>KALMAR LÄN</t>
        </is>
      </c>
      <c r="G318" t="inlineStr">
        <is>
          <t>OSKARSHAMN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13778-2024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46253</v>
      </c>
      <c r="F319" t="inlineStr">
        <is>
          <t>KALMAR LÄN</t>
        </is>
      </c>
      <c r="G319" t="inlineStr">
        <is>
          <t>OSKARSHAMN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46253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45240</v>
      </c>
      <c r="E321" s="1" t="n">
        <v>46253</v>
      </c>
      <c r="F321" t="inlineStr">
        <is>
          <t>KALMAR LÄN</t>
        </is>
      </c>
      <c r="G321" t="inlineStr">
        <is>
          <t>OSKARSHAMN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46253</v>
      </c>
      <c r="F322" t="inlineStr">
        <is>
          <t>KALMAR LÄN</t>
        </is>
      </c>
      <c r="G322" t="inlineStr">
        <is>
          <t>OSKARSHAMN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46253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46253</v>
      </c>
      <c r="F324" t="inlineStr">
        <is>
          <t>KALMAR LÄN</t>
        </is>
      </c>
      <c r="G324" t="inlineStr">
        <is>
          <t>OSKARSHAMN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45348</v>
      </c>
      <c r="E325" s="1" t="n">
        <v>46253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46253</v>
      </c>
      <c r="F326" t="inlineStr">
        <is>
          <t>KALMAR LÄN</t>
        </is>
      </c>
      <c r="G326" t="inlineStr">
        <is>
          <t>OSKARSHAMN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46253</v>
      </c>
      <c r="F327" t="inlineStr">
        <is>
          <t>KALMAR LÄN</t>
        </is>
      </c>
      <c r="G327" t="inlineStr">
        <is>
          <t>OSKARSHAMN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46253</v>
      </c>
      <c r="F328" t="inlineStr">
        <is>
          <t>KALMAR LÄN</t>
        </is>
      </c>
      <c r="G328" t="inlineStr">
        <is>
          <t>OSKARSHAMN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46392-2021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44443</v>
      </c>
      <c r="E329" s="1" t="n">
        <v>46253</v>
      </c>
      <c r="F329" t="inlineStr">
        <is>
          <t>KALMAR LÄN</t>
        </is>
      </c>
      <c r="G329" t="inlineStr">
        <is>
          <t>OSKARSHAMN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33461-2024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45519</v>
      </c>
      <c r="E330" s="1" t="n">
        <v>46253</v>
      </c>
      <c r="F330" t="inlineStr">
        <is>
          <t>KALMAR LÄN</t>
        </is>
      </c>
      <c r="G330" t="inlineStr">
        <is>
          <t>OSKARSHAMN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46253</v>
      </c>
      <c r="F331" t="inlineStr">
        <is>
          <t>KALMAR LÄN</t>
        </is>
      </c>
      <c r="G331" t="inlineStr">
        <is>
          <t>OSKARSHAMN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46253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46253</v>
      </c>
      <c r="F333" t="inlineStr">
        <is>
          <t>KALMAR LÄN</t>
        </is>
      </c>
      <c r="G333" t="inlineStr">
        <is>
          <t>OSKARSHAMN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46253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46253</v>
      </c>
      <c r="F335" t="inlineStr">
        <is>
          <t>KALMAR LÄN</t>
        </is>
      </c>
      <c r="G335" t="inlineStr">
        <is>
          <t>OSKARSHAMN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46253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46253</v>
      </c>
      <c r="F337" t="inlineStr">
        <is>
          <t>KALMAR LÄN</t>
        </is>
      </c>
      <c r="G337" t="inlineStr">
        <is>
          <t>OSKARSHAMN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20758-2026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46141</v>
      </c>
      <c r="E338" s="1" t="n">
        <v>46253</v>
      </c>
      <c r="F338" t="inlineStr">
        <is>
          <t>KALMAR LÄN</t>
        </is>
      </c>
      <c r="G338" t="inlineStr">
        <is>
          <t>OSKARSHAMN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20761-2026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46253</v>
      </c>
      <c r="F339" t="inlineStr">
        <is>
          <t>KALMAR LÄN</t>
        </is>
      </c>
      <c r="G339" t="inlineStr">
        <is>
          <t>OSKARSHAMN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46253</v>
      </c>
      <c r="F340" t="inlineStr">
        <is>
          <t>KALMAR LÄN</t>
        </is>
      </c>
      <c r="G340" t="inlineStr">
        <is>
          <t>OSKARSHAMN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46253</v>
      </c>
      <c r="F341" t="inlineStr">
        <is>
          <t>KALMAR LÄN</t>
        </is>
      </c>
      <c r="G341" t="inlineStr">
        <is>
          <t>OSKARSHAMN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46253</v>
      </c>
      <c r="F342" t="inlineStr">
        <is>
          <t>KALMAR LÄN</t>
        </is>
      </c>
      <c r="G342" t="inlineStr">
        <is>
          <t>OSKARSHAMN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46253</v>
      </c>
      <c r="F343" t="inlineStr">
        <is>
          <t>KALMAR LÄN</t>
        </is>
      </c>
      <c r="G343" t="inlineStr">
        <is>
          <t>OSKARSHAMN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71340-2021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44539</v>
      </c>
      <c r="E344" s="1" t="n">
        <v>46253</v>
      </c>
      <c r="F344" t="inlineStr">
        <is>
          <t>KALMAR LÄN</t>
        </is>
      </c>
      <c r="G344" t="inlineStr">
        <is>
          <t>OSKARSHAMN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46253</v>
      </c>
      <c r="F345" t="inlineStr">
        <is>
          <t>KALMAR LÄN</t>
        </is>
      </c>
      <c r="G345" t="inlineStr">
        <is>
          <t>OSKARSHAMN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46001</v>
      </c>
      <c r="E346" s="1" t="n">
        <v>46253</v>
      </c>
      <c r="F346" t="inlineStr">
        <is>
          <t>KALMAR LÄN</t>
        </is>
      </c>
      <c r="G346" t="inlineStr">
        <is>
          <t>OSKARSHAMN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46253</v>
      </c>
      <c r="F347" t="inlineStr">
        <is>
          <t>KALMAR LÄN</t>
        </is>
      </c>
      <c r="G347" t="inlineStr">
        <is>
          <t>OSKARSHAMN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44995</v>
      </c>
      <c r="E348" s="1" t="n">
        <v>46253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44995</v>
      </c>
      <c r="E349" s="1" t="n">
        <v>46253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72786-2021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46253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45373</v>
      </c>
      <c r="E351" s="1" t="n">
        <v>46253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44965</v>
      </c>
      <c r="E352" s="1" t="n">
        <v>46253</v>
      </c>
      <c r="F352" t="inlineStr">
        <is>
          <t>KALMAR LÄN</t>
        </is>
      </c>
      <c r="G352" t="inlineStr">
        <is>
          <t>OSKARSHAMN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46253</v>
      </c>
      <c r="F353" t="inlineStr">
        <is>
          <t>KALMAR LÄN</t>
        </is>
      </c>
      <c r="G353" t="inlineStr">
        <is>
          <t>OSKARSHAMN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46253</v>
      </c>
      <c r="F354" t="inlineStr">
        <is>
          <t>KALMAR LÄN</t>
        </is>
      </c>
      <c r="G354" t="inlineStr">
        <is>
          <t>OSKARSHAMN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46253</v>
      </c>
      <c r="F355" t="inlineStr">
        <is>
          <t>KALMAR LÄN</t>
        </is>
      </c>
      <c r="G355" t="inlineStr">
        <is>
          <t>OSKARSHAMN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46253</v>
      </c>
      <c r="F356" t="inlineStr">
        <is>
          <t>KALMAR LÄN</t>
        </is>
      </c>
      <c r="G356" t="inlineStr">
        <is>
          <t>OSKARSHAMN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45643</v>
      </c>
      <c r="E357" s="1" t="n">
        <v>46253</v>
      </c>
      <c r="F357" t="inlineStr">
        <is>
          <t>KALMAR LÄN</t>
        </is>
      </c>
      <c r="G357" t="inlineStr">
        <is>
          <t>OSKARSHAMN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46253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46147</v>
      </c>
      <c r="E359" s="1" t="n">
        <v>46253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21357-2026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46147</v>
      </c>
      <c r="E360" s="1" t="n">
        <v>46253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45411</v>
      </c>
      <c r="E361" s="1" t="n">
        <v>46253</v>
      </c>
      <c r="F361" t="inlineStr">
        <is>
          <t>KALMAR LÄN</t>
        </is>
      </c>
      <c r="G361" t="inlineStr">
        <is>
          <t>OSKARSHAMN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44621</v>
      </c>
      <c r="E362" s="1" t="n">
        <v>46253</v>
      </c>
      <c r="F362" t="inlineStr">
        <is>
          <t>KALMAR LÄN</t>
        </is>
      </c>
      <c r="G362" t="inlineStr">
        <is>
          <t>OSKARSHAMN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45043</v>
      </c>
      <c r="E363" s="1" t="n">
        <v>46253</v>
      </c>
      <c r="F363" t="inlineStr">
        <is>
          <t>KALMAR LÄN</t>
        </is>
      </c>
      <c r="G363" t="inlineStr">
        <is>
          <t>OSKARSHAMN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45022</v>
      </c>
      <c r="E364" s="1" t="n">
        <v>46253</v>
      </c>
      <c r="F364" t="inlineStr">
        <is>
          <t>KALMAR LÄN</t>
        </is>
      </c>
      <c r="G364" t="inlineStr">
        <is>
          <t>OSKARSHAMN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45601</v>
      </c>
      <c r="E365" s="1" t="n">
        <v>46253</v>
      </c>
      <c r="F365" t="inlineStr">
        <is>
          <t>KALMAR LÄN</t>
        </is>
      </c>
      <c r="G365" t="inlineStr">
        <is>
          <t>OSKARSHAMN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46253</v>
      </c>
      <c r="F366" t="inlineStr">
        <is>
          <t>KALMAR LÄN</t>
        </is>
      </c>
      <c r="G366" t="inlineStr">
        <is>
          <t>OSKARSHAMN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46253</v>
      </c>
      <c r="F367" t="inlineStr">
        <is>
          <t>KALMAR LÄN</t>
        </is>
      </c>
      <c r="G367" t="inlineStr">
        <is>
          <t>OSKARSHAMN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59710-2021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44494</v>
      </c>
      <c r="E368" s="1" t="n">
        <v>46253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44573</v>
      </c>
      <c r="E369" s="1" t="n">
        <v>46253</v>
      </c>
      <c r="F369" t="inlineStr">
        <is>
          <t>KALMAR LÄN</t>
        </is>
      </c>
      <c r="G369" t="inlineStr">
        <is>
          <t>OSKARSHAMN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46253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45223</v>
      </c>
      <c r="E371" s="1" t="n">
        <v>46253</v>
      </c>
      <c r="F371" t="inlineStr">
        <is>
          <t>KALMAR LÄN</t>
        </is>
      </c>
      <c r="G371" t="inlineStr">
        <is>
          <t>OSKARSHAMN</t>
        </is>
      </c>
      <c r="I371" t="n">
        <v>15.3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46253</v>
      </c>
      <c r="F372" t="inlineStr">
        <is>
          <t>KALMAR LÄN</t>
        </is>
      </c>
      <c r="G372" t="inlineStr">
        <is>
          <t>OSKARSHAMN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46253</v>
      </c>
      <c r="F373" t="inlineStr">
        <is>
          <t>KALMAR LÄN</t>
        </is>
      </c>
      <c r="G373" t="inlineStr">
        <is>
          <t>OSKARSHAMN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46253</v>
      </c>
      <c r="F374" t="inlineStr">
        <is>
          <t>KALMAR LÄN</t>
        </is>
      </c>
      <c r="G374" t="inlineStr">
        <is>
          <t>OSKARSHAMN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46253</v>
      </c>
      <c r="F375" t="inlineStr">
        <is>
          <t>KALMAR LÄN</t>
        </is>
      </c>
      <c r="G375" t="inlineStr">
        <is>
          <t>OSKARSHAMN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73404-2021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44551</v>
      </c>
      <c r="E376" s="1" t="n">
        <v>46253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60717-2024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46253</v>
      </c>
      <c r="F377" t="inlineStr">
        <is>
          <t>KALMAR LÄN</t>
        </is>
      </c>
      <c r="G377" t="inlineStr">
        <is>
          <t>OSKARSHAMN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46253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46253</v>
      </c>
      <c r="F379" t="inlineStr">
        <is>
          <t>KALMAR LÄN</t>
        </is>
      </c>
      <c r="G379" t="inlineStr">
        <is>
          <t>OSKARSHAMN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43165-2024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45567</v>
      </c>
      <c r="E380" s="1" t="n">
        <v>46253</v>
      </c>
      <c r="F380" t="inlineStr">
        <is>
          <t>KALMAR LÄN</t>
        </is>
      </c>
      <c r="G380" t="inlineStr">
        <is>
          <t>OSKARSHAMN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26132-2023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45091</v>
      </c>
      <c r="E381" s="1" t="n">
        <v>46253</v>
      </c>
      <c r="F381" t="inlineStr">
        <is>
          <t>KALMAR LÄN</t>
        </is>
      </c>
      <c r="G381" t="inlineStr">
        <is>
          <t>OSKARSHAMN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30743-2026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46253</v>
      </c>
      <c r="F382" t="inlineStr">
        <is>
          <t>KALMAR LÄN</t>
        </is>
      </c>
      <c r="G382" t="inlineStr">
        <is>
          <t>OSKARSHAMN</t>
        </is>
      </c>
      <c r="I382" t="n">
        <v>13.6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72819-2021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44547</v>
      </c>
      <c r="E383" s="1" t="n">
        <v>46253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46169</v>
      </c>
      <c r="E384" s="1" t="n">
        <v>46253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46253</v>
      </c>
      <c r="F385" t="inlineStr">
        <is>
          <t>KALMAR LÄN</t>
        </is>
      </c>
      <c r="G385" t="inlineStr">
        <is>
          <t>OSKARSHAMN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45385</v>
      </c>
      <c r="E386" s="1" t="n">
        <v>46253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45691</v>
      </c>
      <c r="E387" s="1" t="n">
        <v>46253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46253</v>
      </c>
      <c r="F388" t="inlineStr">
        <is>
          <t>KALMAR LÄN</t>
        </is>
      </c>
      <c r="G388" t="inlineStr">
        <is>
          <t>OSKARSHAMN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44608</v>
      </c>
      <c r="E389" s="1" t="n">
        <v>46253</v>
      </c>
      <c r="F389" t="inlineStr">
        <is>
          <t>KALMAR LÄN</t>
        </is>
      </c>
      <c r="G389" t="inlineStr">
        <is>
          <t>OSKARSHAMN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46253</v>
      </c>
      <c r="F390" t="inlineStr">
        <is>
          <t>KALMAR LÄN</t>
        </is>
      </c>
      <c r="G390" t="inlineStr">
        <is>
          <t>OSKARSHAMN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46253</v>
      </c>
      <c r="F391" t="inlineStr">
        <is>
          <t>KALMAR LÄN</t>
        </is>
      </c>
      <c r="G391" t="inlineStr">
        <is>
          <t>OSKARSHAMN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46171</v>
      </c>
      <c r="E392" s="1" t="n">
        <v>46253</v>
      </c>
      <c r="F392" t="inlineStr">
        <is>
          <t>KALMAR LÄN</t>
        </is>
      </c>
      <c r="G392" t="inlineStr">
        <is>
          <t>OSKARSHAMN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45207</v>
      </c>
      <c r="E393" s="1" t="n">
        <v>46253</v>
      </c>
      <c r="F393" t="inlineStr">
        <is>
          <t>KALMAR LÄN</t>
        </is>
      </c>
      <c r="G393" t="inlineStr">
        <is>
          <t>OSKARSHAMN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46253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46253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46253</v>
      </c>
      <c r="F396" t="inlineStr">
        <is>
          <t>KALMAR LÄN</t>
        </is>
      </c>
      <c r="G396" t="inlineStr">
        <is>
          <t>OSKARSHAMN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46253</v>
      </c>
      <c r="F397" t="inlineStr">
        <is>
          <t>KALMAR LÄN</t>
        </is>
      </c>
      <c r="G397" t="inlineStr">
        <is>
          <t>OSKARSHAMN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45254</v>
      </c>
      <c r="E398" s="1" t="n">
        <v>46253</v>
      </c>
      <c r="F398" t="inlineStr">
        <is>
          <t>KALMAR LÄN</t>
        </is>
      </c>
      <c r="G398" t="inlineStr">
        <is>
          <t>OSKARSHAMN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46253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46253</v>
      </c>
      <c r="F400" t="inlineStr">
        <is>
          <t>KALMAR LÄN</t>
        </is>
      </c>
      <c r="G400" t="inlineStr">
        <is>
          <t>OSKARSHAMN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45098</v>
      </c>
      <c r="E401" s="1" t="n">
        <v>46253</v>
      </c>
      <c r="F401" t="inlineStr">
        <is>
          <t>KALMAR LÄN</t>
        </is>
      </c>
      <c r="G401" t="inlineStr">
        <is>
          <t>OSKARSHAMN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39670-2022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44818</v>
      </c>
      <c r="E402" s="1" t="n">
        <v>46253</v>
      </c>
      <c r="F402" t="inlineStr">
        <is>
          <t>KALMAR LÄN</t>
        </is>
      </c>
      <c r="G402" t="inlineStr">
        <is>
          <t>OSKARSHAMN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46253</v>
      </c>
      <c r="F403" t="inlineStr">
        <is>
          <t>KALMAR LÄN</t>
        </is>
      </c>
      <c r="G403" t="inlineStr">
        <is>
          <t>OSKARSHAMN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46253</v>
      </c>
      <c r="F404" t="inlineStr">
        <is>
          <t>KALMAR LÄN</t>
        </is>
      </c>
      <c r="G404" t="inlineStr">
        <is>
          <t>OSKARSHAMN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46253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26197-2026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46182</v>
      </c>
      <c r="E406" s="1" t="n">
        <v>46253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46253</v>
      </c>
      <c r="F407" t="inlineStr">
        <is>
          <t>KALMAR LÄN</t>
        </is>
      </c>
      <c r="G407" t="inlineStr">
        <is>
          <t>OSKARSHAMN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45110</v>
      </c>
      <c r="E408" s="1" t="n">
        <v>46253</v>
      </c>
      <c r="F408" t="inlineStr">
        <is>
          <t>KALMAR LÄN</t>
        </is>
      </c>
      <c r="G408" t="inlineStr">
        <is>
          <t>OSKARSHAMN</t>
        </is>
      </c>
      <c r="I408" t="n">
        <v>12.9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40177-2023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46253</v>
      </c>
      <c r="F409" t="inlineStr">
        <is>
          <t>KALMAR LÄN</t>
        </is>
      </c>
      <c r="G409" t="inlineStr">
        <is>
          <t>OSKARSHAMN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46230</v>
      </c>
      <c r="E410" s="1" t="n">
        <v>46253</v>
      </c>
      <c r="F410" t="inlineStr">
        <is>
          <t>KALMAR LÄN</t>
        </is>
      </c>
      <c r="G410" t="inlineStr">
        <is>
          <t>OSKARSHAMN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45408</v>
      </c>
      <c r="E411" s="1" t="n">
        <v>46253</v>
      </c>
      <c r="F411" t="inlineStr">
        <is>
          <t>KALMAR LÄN</t>
        </is>
      </c>
      <c r="G411" t="inlineStr">
        <is>
          <t>OSKARSHAMN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47934-2023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46253</v>
      </c>
      <c r="F412" t="inlineStr">
        <is>
          <t>KALMAR LÄN</t>
        </is>
      </c>
      <c r="G412" t="inlineStr">
        <is>
          <t>OSKARSHAMN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30000-2022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44756</v>
      </c>
      <c r="E413" s="1" t="n">
        <v>46253</v>
      </c>
      <c r="F413" t="inlineStr">
        <is>
          <t>KALMAR LÄN</t>
        </is>
      </c>
      <c r="G413" t="inlineStr">
        <is>
          <t>OSKARSHAMN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45240</v>
      </c>
      <c r="E414" s="1" t="n">
        <v>46253</v>
      </c>
      <c r="F414" t="inlineStr">
        <is>
          <t>KALMAR LÄN</t>
        </is>
      </c>
      <c r="G414" t="inlineStr">
        <is>
          <t>OSKARSHAMN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46253</v>
      </c>
      <c r="F415" t="inlineStr">
        <is>
          <t>KALMAR LÄN</t>
        </is>
      </c>
      <c r="G415" t="inlineStr">
        <is>
          <t>OSKARSHAMN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3356-2024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45317</v>
      </c>
      <c r="E416" s="1" t="n">
        <v>46253</v>
      </c>
      <c r="F416" t="inlineStr">
        <is>
          <t>KALMAR LÄN</t>
        </is>
      </c>
      <c r="G416" t="inlineStr">
        <is>
          <t>OSKARSHAMN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45448</v>
      </c>
      <c r="E417" s="1" t="n">
        <v>46253</v>
      </c>
      <c r="F417" t="inlineStr">
        <is>
          <t>KALMAR LÄN</t>
        </is>
      </c>
      <c r="G417" t="inlineStr">
        <is>
          <t>OSKARSHAMN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45254</v>
      </c>
      <c r="E418" s="1" t="n">
        <v>46253</v>
      </c>
      <c r="F418" t="inlineStr">
        <is>
          <t>KALMAR LÄN</t>
        </is>
      </c>
      <c r="G418" t="inlineStr">
        <is>
          <t>OSKARSHAMN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46253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45349</v>
      </c>
      <c r="E420" s="1" t="n">
        <v>46253</v>
      </c>
      <c r="F420" t="inlineStr">
        <is>
          <t>KALMAR LÄN</t>
        </is>
      </c>
      <c r="G420" t="inlineStr">
        <is>
          <t>OSKARSHAMN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46253</v>
      </c>
      <c r="F421" t="inlineStr">
        <is>
          <t>KALMAR LÄN</t>
        </is>
      </c>
      <c r="G421" t="inlineStr">
        <is>
          <t>OSKARSHAMN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62623-2021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44503</v>
      </c>
      <c r="E422" s="1" t="n">
        <v>46253</v>
      </c>
      <c r="F422" t="inlineStr">
        <is>
          <t>KALMAR LÄN</t>
        </is>
      </c>
      <c r="G422" t="inlineStr">
        <is>
          <t>OSKARSHAMN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61854-2022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44917</v>
      </c>
      <c r="E423" s="1" t="n">
        <v>46253</v>
      </c>
      <c r="F423" t="inlineStr">
        <is>
          <t>KALMAR LÄN</t>
        </is>
      </c>
      <c r="G423" t="inlineStr">
        <is>
          <t>OSKARSHAMN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45330</v>
      </c>
      <c r="E424" s="1" t="n">
        <v>46253</v>
      </c>
      <c r="F424" t="inlineStr">
        <is>
          <t>KALMAR LÄN</t>
        </is>
      </c>
      <c r="G424" t="inlineStr">
        <is>
          <t>OSKARSHAMN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46253</v>
      </c>
      <c r="F425" t="inlineStr">
        <is>
          <t>KALMAR LÄN</t>
        </is>
      </c>
      <c r="G425" t="inlineStr">
        <is>
          <t>OSKARSHAMN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44945</v>
      </c>
      <c r="E426" s="1" t="n">
        <v>46253</v>
      </c>
      <c r="F426" t="inlineStr">
        <is>
          <t>KALMAR LÄN</t>
        </is>
      </c>
      <c r="G426" t="inlineStr">
        <is>
          <t>OSKARSHAMN</t>
        </is>
      </c>
      <c r="I426" t="n">
        <v>9.1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45448</v>
      </c>
      <c r="E427" s="1" t="n">
        <v>46253</v>
      </c>
      <c r="F427" t="inlineStr">
        <is>
          <t>KALMAR LÄN</t>
        </is>
      </c>
      <c r="G427" t="inlineStr">
        <is>
          <t>OSKARSHAMN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14949-2023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45015</v>
      </c>
      <c r="E428" s="1" t="n">
        <v>46253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11450-2024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46253</v>
      </c>
      <c r="F429" t="inlineStr">
        <is>
          <t>KALMAR LÄN</t>
        </is>
      </c>
      <c r="G429" t="inlineStr">
        <is>
          <t>OSKARSHAMN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46253</v>
      </c>
      <c r="F430" t="inlineStr">
        <is>
          <t>KALMAR LÄN</t>
        </is>
      </c>
      <c r="G430" t="inlineStr">
        <is>
          <t>OSKARSHAMN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45294</v>
      </c>
      <c r="E431" s="1" t="n">
        <v>46253</v>
      </c>
      <c r="F431" t="inlineStr">
        <is>
          <t>KALMAR LÄN</t>
        </is>
      </c>
      <c r="G431" t="inlineStr">
        <is>
          <t>OSKARSHAMN</t>
        </is>
      </c>
      <c r="I431" t="n">
        <v>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63522-2023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46253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46253</v>
      </c>
      <c r="F433" t="inlineStr">
        <is>
          <t>KALMAR LÄN</t>
        </is>
      </c>
      <c r="G433" t="inlineStr">
        <is>
          <t>OSKARSHAMN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58401-2021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44488</v>
      </c>
      <c r="E434" s="1" t="n">
        <v>46253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29619-2026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46199</v>
      </c>
      <c r="E435" s="1" t="n">
        <v>46253</v>
      </c>
      <c r="F435" t="inlineStr">
        <is>
          <t>KALMAR LÄN</t>
        </is>
      </c>
      <c r="G435" t="inlineStr">
        <is>
          <t>OSKARSHAMN</t>
        </is>
      </c>
      <c r="H435" t="inlineStr">
        <is>
          <t>Kommuner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46243</v>
      </c>
      <c r="E436" s="1" t="n">
        <v>46253</v>
      </c>
      <c r="F436" t="inlineStr">
        <is>
          <t>KALMAR LÄN</t>
        </is>
      </c>
      <c r="G436" t="inlineStr">
        <is>
          <t>OSKARSHAMN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48000-2024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46253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46243</v>
      </c>
      <c r="E438" s="1" t="n">
        <v>46253</v>
      </c>
      <c r="F438" t="inlineStr">
        <is>
          <t>KALMAR LÄN</t>
        </is>
      </c>
      <c r="G438" t="inlineStr">
        <is>
          <t>OSKARSHAMN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46253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46253</v>
      </c>
      <c r="F440" t="inlineStr">
        <is>
          <t>KALMAR LÄN</t>
        </is>
      </c>
      <c r="G440" t="inlineStr">
        <is>
          <t>OSKARSHAMN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46253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46253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46253</v>
      </c>
      <c r="F443" t="inlineStr">
        <is>
          <t>KALMAR LÄN</t>
        </is>
      </c>
      <c r="G443" t="inlineStr">
        <is>
          <t>OSKARSHAMN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44621</v>
      </c>
      <c r="E444" s="1" t="n">
        <v>46253</v>
      </c>
      <c r="F444" t="inlineStr">
        <is>
          <t>KALMAR LÄN</t>
        </is>
      </c>
      <c r="G444" t="inlineStr">
        <is>
          <t>OSKARSHAMN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45215</v>
      </c>
      <c r="E445" s="1" t="n">
        <v>46253</v>
      </c>
      <c r="F445" t="inlineStr">
        <is>
          <t>KALMAR LÄN</t>
        </is>
      </c>
      <c r="G445" t="inlineStr">
        <is>
          <t>OSKARSHAMN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46244</v>
      </c>
      <c r="E446" s="1" t="n">
        <v>46253</v>
      </c>
      <c r="F446" t="inlineStr">
        <is>
          <t>KALMAR LÄN</t>
        </is>
      </c>
      <c r="G446" t="inlineStr">
        <is>
          <t>OSKARSHAMN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46253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46253</v>
      </c>
      <c r="F448" t="inlineStr">
        <is>
          <t>KALMAR LÄN</t>
        </is>
      </c>
      <c r="G448" t="inlineStr">
        <is>
          <t>OSKARSHAMN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46253</v>
      </c>
      <c r="F449" t="inlineStr">
        <is>
          <t>KALMAR LÄN</t>
        </is>
      </c>
      <c r="G449" t="inlineStr">
        <is>
          <t>OSKARSHAMN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46253</v>
      </c>
      <c r="F450" t="inlineStr">
        <is>
          <t>KALMAR LÄN</t>
        </is>
      </c>
      <c r="G450" t="inlineStr">
        <is>
          <t>OSKARSHAMN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46253</v>
      </c>
      <c r="F451" t="inlineStr">
        <is>
          <t>KALMAR LÄN</t>
        </is>
      </c>
      <c r="G451" t="inlineStr">
        <is>
          <t>OSKARSHAMN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46253</v>
      </c>
      <c r="F452" t="inlineStr">
        <is>
          <t>KALMAR LÄN</t>
        </is>
      </c>
      <c r="G452" t="inlineStr">
        <is>
          <t>OSKARSHAMN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45523</v>
      </c>
      <c r="E453" s="1" t="n">
        <v>46253</v>
      </c>
      <c r="F453" t="inlineStr">
        <is>
          <t>KALMAR LÄN</t>
        </is>
      </c>
      <c r="G453" t="inlineStr">
        <is>
          <t>OSKARSHAMN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46253</v>
      </c>
      <c r="F454" t="inlineStr">
        <is>
          <t>KALMAR LÄN</t>
        </is>
      </c>
      <c r="G454" t="inlineStr">
        <is>
          <t>OSKARSHAMN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45448</v>
      </c>
      <c r="E455" s="1" t="n">
        <v>46253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46253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46253</v>
      </c>
      <c r="F457" t="inlineStr">
        <is>
          <t>KALMAR LÄN</t>
        </is>
      </c>
      <c r="G457" t="inlineStr">
        <is>
          <t>OSKARSHAMN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46253</v>
      </c>
      <c r="F458" t="inlineStr">
        <is>
          <t>KALMAR LÄN</t>
        </is>
      </c>
      <c r="G458" t="inlineStr">
        <is>
          <t>OSKARSHAMN</t>
        </is>
      </c>
      <c r="I458" t="n">
        <v>15.3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60232-2023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46253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28100-2026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46195</v>
      </c>
      <c r="E460" s="1" t="n">
        <v>46253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45433</v>
      </c>
      <c r="E461" s="1" t="n">
        <v>46253</v>
      </c>
      <c r="F461" t="inlineStr">
        <is>
          <t>KALMAR LÄN</t>
        </is>
      </c>
      <c r="G461" t="inlineStr">
        <is>
          <t>OSKARSHAMN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58406-2021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44488</v>
      </c>
      <c r="E462" s="1" t="n">
        <v>46253</v>
      </c>
      <c r="F462" t="inlineStr">
        <is>
          <t>KALMAR LÄN</t>
        </is>
      </c>
      <c r="G462" t="inlineStr">
        <is>
          <t>OSKARSHAMN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44865</v>
      </c>
      <c r="E463" s="1" t="n">
        <v>46253</v>
      </c>
      <c r="F463" t="inlineStr">
        <is>
          <t>KALMAR LÄN</t>
        </is>
      </c>
      <c r="G463" t="inlineStr">
        <is>
          <t>OSKARSHAMN</t>
        </is>
      </c>
      <c r="H463" t="inlineStr">
        <is>
          <t>Övriga Aktiebolag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46253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27684-2022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44743</v>
      </c>
      <c r="E465" s="1" t="n">
        <v>46253</v>
      </c>
      <c r="F465" t="inlineStr">
        <is>
          <t>KALMAR LÄN</t>
        </is>
      </c>
      <c r="G465" t="inlineStr">
        <is>
          <t>OSKARSHAMN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46253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46252</v>
      </c>
      <c r="E467" s="1" t="n">
        <v>46253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61862-2022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46253</v>
      </c>
      <c r="F468" t="inlineStr">
        <is>
          <t>KALMAR LÄN</t>
        </is>
      </c>
      <c r="G468" t="inlineStr">
        <is>
          <t>OSKARSHAMN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44951</v>
      </c>
      <c r="E469" s="1" t="n">
        <v>46253</v>
      </c>
      <c r="F469" t="inlineStr">
        <is>
          <t>KALMAR LÄN</t>
        </is>
      </c>
      <c r="G469" t="inlineStr">
        <is>
          <t>OSKARSHAMN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46253</v>
      </c>
      <c r="F470" t="inlineStr">
        <is>
          <t>KALMAR LÄN</t>
        </is>
      </c>
      <c r="G470" t="inlineStr">
        <is>
          <t>OSKARSHAMN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45526</v>
      </c>
      <c r="E471" s="1" t="n">
        <v>46253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10728-2024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45369</v>
      </c>
      <c r="E472" s="1" t="n">
        <v>46253</v>
      </c>
      <c r="F472" t="inlineStr">
        <is>
          <t>KALMAR LÄN</t>
        </is>
      </c>
      <c r="G472" t="inlineStr">
        <is>
          <t>OSKARSHAMN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45469</v>
      </c>
      <c r="E473" s="1" t="n">
        <v>46253</v>
      </c>
      <c r="F473" t="inlineStr">
        <is>
          <t>KALMAR LÄN</t>
        </is>
      </c>
      <c r="G473" t="inlineStr">
        <is>
          <t>OSKARSHAMN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49804-2022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44862</v>
      </c>
      <c r="E474" s="1" t="n">
        <v>46253</v>
      </c>
      <c r="F474" t="inlineStr">
        <is>
          <t>KALMAR LÄN</t>
        </is>
      </c>
      <c r="G474" t="inlineStr">
        <is>
          <t>OSKARSHAMN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46977-2021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44446</v>
      </c>
      <c r="E475" s="1" t="n">
        <v>46253</v>
      </c>
      <c r="F475" t="inlineStr">
        <is>
          <t>KALMAR LÄN</t>
        </is>
      </c>
      <c r="G475" t="inlineStr">
        <is>
          <t>OSKARSHAMN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45985</v>
      </c>
      <c r="E476" s="1" t="n">
        <v>46253</v>
      </c>
      <c r="F476" t="inlineStr">
        <is>
          <t>KALMAR LÄN</t>
        </is>
      </c>
      <c r="G476" t="inlineStr">
        <is>
          <t>OSKARSHAMN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45028</v>
      </c>
      <c r="E477" s="1" t="n">
        <v>46253</v>
      </c>
      <c r="F477" t="inlineStr">
        <is>
          <t>KALMAR LÄN</t>
        </is>
      </c>
      <c r="G477" t="inlineStr">
        <is>
          <t>OSKARSHAMN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45196</v>
      </c>
      <c r="E478" s="1" t="n">
        <v>46253</v>
      </c>
      <c r="F478" t="inlineStr">
        <is>
          <t>KALMAR LÄN</t>
        </is>
      </c>
      <c r="G478" t="inlineStr">
        <is>
          <t>OSKARSHAMN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61676-2022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46253</v>
      </c>
      <c r="F479" t="inlineStr">
        <is>
          <t>KALMAR LÄN</t>
        </is>
      </c>
      <c r="G479" t="inlineStr">
        <is>
          <t>OSKARSHAMN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45405</v>
      </c>
      <c r="E480" s="1" t="n">
        <v>46253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15954-2024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45405</v>
      </c>
      <c r="E481" s="1" t="n">
        <v>46253</v>
      </c>
      <c r="F481" t="inlineStr">
        <is>
          <t>KALMAR LÄN</t>
        </is>
      </c>
      <c r="G481" t="inlineStr">
        <is>
          <t>OSKARSHAMN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45256</v>
      </c>
      <c r="E482" s="1" t="n">
        <v>46253</v>
      </c>
      <c r="F482" t="inlineStr">
        <is>
          <t>KALMAR LÄN</t>
        </is>
      </c>
      <c r="G482" t="inlineStr">
        <is>
          <t>OSKARSHAMN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17194-2023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45034</v>
      </c>
      <c r="E483" s="1" t="n">
        <v>46253</v>
      </c>
      <c r="F483" t="inlineStr">
        <is>
          <t>KALMAR LÄN</t>
        </is>
      </c>
      <c r="G483" t="inlineStr">
        <is>
          <t>OSKARSHAMN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48923-2023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46253</v>
      </c>
      <c r="F484" t="inlineStr">
        <is>
          <t>KALMAR LÄN</t>
        </is>
      </c>
      <c r="G484" t="inlineStr">
        <is>
          <t>OSKARSHAMN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46253</v>
      </c>
      <c r="F485" t="inlineStr">
        <is>
          <t>KALMAR LÄN</t>
        </is>
      </c>
      <c r="G485" t="inlineStr">
        <is>
          <t>OSKARSHAMN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11966-2023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44995</v>
      </c>
      <c r="E486" s="1" t="n">
        <v>46253</v>
      </c>
      <c r="F486" t="inlineStr">
        <is>
          <t>KALMAR LÄN</t>
        </is>
      </c>
      <c r="G486" t="inlineStr">
        <is>
          <t>OSKARSHAMN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10630-2022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44624</v>
      </c>
      <c r="E487" s="1" t="n">
        <v>46253</v>
      </c>
      <c r="F487" t="inlineStr">
        <is>
          <t>KALMAR LÄN</t>
        </is>
      </c>
      <c r="G487" t="inlineStr">
        <is>
          <t>OSKARSHAMN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45337</v>
      </c>
      <c r="E488" s="1" t="n">
        <v>46253</v>
      </c>
      <c r="F488" t="inlineStr">
        <is>
          <t>KALMAR LÄN</t>
        </is>
      </c>
      <c r="G488" t="inlineStr">
        <is>
          <t>OSKARSHAMN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45448</v>
      </c>
      <c r="E489" s="1" t="n">
        <v>46253</v>
      </c>
      <c r="F489" t="inlineStr">
        <is>
          <t>KALMAR LÄN</t>
        </is>
      </c>
      <c r="G489" t="inlineStr">
        <is>
          <t>OSKARSHAMN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45448</v>
      </c>
      <c r="E490" s="1" t="n">
        <v>46253</v>
      </c>
      <c r="F490" t="inlineStr">
        <is>
          <t>KALMAR LÄN</t>
        </is>
      </c>
      <c r="G490" t="inlineStr">
        <is>
          <t>OSKARSHAMN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44505</v>
      </c>
      <c r="E491" s="1" t="n">
        <v>46253</v>
      </c>
      <c r="F491" t="inlineStr">
        <is>
          <t>KALMAR LÄN</t>
        </is>
      </c>
      <c r="G491" t="inlineStr">
        <is>
          <t>OSKARSHAMN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49909-2022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44865</v>
      </c>
      <c r="E492" s="1" t="n">
        <v>46253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44994</v>
      </c>
      <c r="E493" s="1" t="n">
        <v>46253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44973</v>
      </c>
      <c r="E494" s="1" t="n">
        <v>46253</v>
      </c>
      <c r="F494" t="inlineStr">
        <is>
          <t>KALMAR LÄN</t>
        </is>
      </c>
      <c r="G494" t="inlineStr">
        <is>
          <t>OSKARSHAMN</t>
        </is>
      </c>
      <c r="H494" t="inlineStr">
        <is>
          <t>Övriga Aktiebolag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27098-2023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45096</v>
      </c>
      <c r="E495" s="1" t="n">
        <v>46253</v>
      </c>
      <c r="F495" t="inlineStr">
        <is>
          <t>KALMAR LÄN</t>
        </is>
      </c>
      <c r="G495" t="inlineStr">
        <is>
          <t>OSKARSHAMN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46253</v>
      </c>
      <c r="F496" t="inlineStr">
        <is>
          <t>KALMAR LÄN</t>
        </is>
      </c>
      <c r="G496" t="inlineStr">
        <is>
          <t>OSKARSHAMN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46253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46253</v>
      </c>
      <c r="F498" t="inlineStr">
        <is>
          <t>KALMAR LÄN</t>
        </is>
      </c>
      <c r="G498" t="inlineStr">
        <is>
          <t>OSKARSHAMN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51721-2024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45604</v>
      </c>
      <c r="E499" s="1" t="n">
        <v>46253</v>
      </c>
      <c r="F499" t="inlineStr">
        <is>
          <t>KALMAR LÄN</t>
        </is>
      </c>
      <c r="G499" t="inlineStr">
        <is>
          <t>OSKARSHAMN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44963</v>
      </c>
      <c r="E500" s="1" t="n">
        <v>46253</v>
      </c>
      <c r="F500" t="inlineStr">
        <is>
          <t>KALMAR LÄN</t>
        </is>
      </c>
      <c r="G500" t="inlineStr">
        <is>
          <t>OSKARSHAMN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27919-2023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46253</v>
      </c>
      <c r="F501" t="inlineStr">
        <is>
          <t>KALMAR LÄN</t>
        </is>
      </c>
      <c r="G501" t="inlineStr">
        <is>
          <t>OSKARSHAMN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46253</v>
      </c>
      <c r="F502" t="inlineStr">
        <is>
          <t>KALMAR LÄN</t>
        </is>
      </c>
      <c r="G502" t="inlineStr">
        <is>
          <t>OSKARSHAMN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46253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45021</v>
      </c>
      <c r="E504" s="1" t="n">
        <v>46253</v>
      </c>
      <c r="F504" t="inlineStr">
        <is>
          <t>KALMAR LÄN</t>
        </is>
      </c>
      <c r="G504" t="inlineStr">
        <is>
          <t>OSKARSHAMN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46253</v>
      </c>
      <c r="F505" t="inlineStr">
        <is>
          <t>KALMAR LÄN</t>
        </is>
      </c>
      <c r="G505" t="inlineStr">
        <is>
          <t>OSKARSHAMN</t>
        </is>
      </c>
      <c r="H505" t="inlineStr">
        <is>
          <t>Övriga Aktiebolag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57483-2021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44483</v>
      </c>
      <c r="E506" s="1" t="n">
        <v>46253</v>
      </c>
      <c r="F506" t="inlineStr">
        <is>
          <t>KALMAR LÄN</t>
        </is>
      </c>
      <c r="G506" t="inlineStr">
        <is>
          <t>OSKARSHAMN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44980</v>
      </c>
      <c r="E507" s="1" t="n">
        <v>46253</v>
      </c>
      <c r="F507" t="inlineStr">
        <is>
          <t>KALMAR LÄN</t>
        </is>
      </c>
      <c r="G507" t="inlineStr">
        <is>
          <t>OSKARSHAMN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9919-2022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44620</v>
      </c>
      <c r="E508" s="1" t="n">
        <v>46253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44978</v>
      </c>
      <c r="E509" s="1" t="n">
        <v>46253</v>
      </c>
      <c r="F509" t="inlineStr">
        <is>
          <t>KALMAR LÄN</t>
        </is>
      </c>
      <c r="G509" t="inlineStr">
        <is>
          <t>OSKARSHAMN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45531</v>
      </c>
      <c r="E510" s="1" t="n">
        <v>46253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49841-2023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45212</v>
      </c>
      <c r="E511" s="1" t="n">
        <v>46253</v>
      </c>
      <c r="F511" t="inlineStr">
        <is>
          <t>KALMAR LÄN</t>
        </is>
      </c>
      <c r="G511" t="inlineStr">
        <is>
          <t>OSKARSHAMN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44951</v>
      </c>
      <c r="E512" s="1" t="n">
        <v>46253</v>
      </c>
      <c r="F512" t="inlineStr">
        <is>
          <t>KALMAR LÄN</t>
        </is>
      </c>
      <c r="G512" t="inlineStr">
        <is>
          <t>OSKARSHAMN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55569-2024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45621</v>
      </c>
      <c r="E513" s="1" t="n">
        <v>46253</v>
      </c>
      <c r="F513" t="inlineStr">
        <is>
          <t>KALMAR LÄN</t>
        </is>
      </c>
      <c r="G513" t="inlineStr">
        <is>
          <t>OSKARSHAMN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45240</v>
      </c>
      <c r="E514" s="1" t="n">
        <v>46253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11469-2024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46253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4097-2024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45323</v>
      </c>
      <c r="E516" s="1" t="n">
        <v>46253</v>
      </c>
      <c r="F516" t="inlineStr">
        <is>
          <t>KALMAR LÄN</t>
        </is>
      </c>
      <c r="G516" t="inlineStr">
        <is>
          <t>OSKARSHAMN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46253</v>
      </c>
      <c r="F517" t="inlineStr">
        <is>
          <t>KALMAR LÄN</t>
        </is>
      </c>
      <c r="G517" t="inlineStr">
        <is>
          <t>OSKARSHAMN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46253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45019</v>
      </c>
      <c r="E519" s="1" t="n">
        <v>46253</v>
      </c>
      <c r="F519" t="inlineStr">
        <is>
          <t>KALMAR LÄN</t>
        </is>
      </c>
      <c r="G519" t="inlineStr">
        <is>
          <t>OSKARSHAMN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45341</v>
      </c>
      <c r="E520" s="1" t="n">
        <v>46253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46253</v>
      </c>
      <c r="F521" t="inlineStr">
        <is>
          <t>KALMAR LÄN</t>
        </is>
      </c>
      <c r="G521" t="inlineStr">
        <is>
          <t>OSKARSHAMN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46253</v>
      </c>
      <c r="F522" t="inlineStr">
        <is>
          <t>KALMAR LÄN</t>
        </is>
      </c>
      <c r="G522" t="inlineStr">
        <is>
          <t>OSKARSHAMN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45364</v>
      </c>
      <c r="E523" s="1" t="n">
        <v>46253</v>
      </c>
      <c r="F523" t="inlineStr">
        <is>
          <t>KALMAR LÄN</t>
        </is>
      </c>
      <c r="G523" t="inlineStr">
        <is>
          <t>OSKARSHAMN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8499-2023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44977</v>
      </c>
      <c r="E524" s="1" t="n">
        <v>46253</v>
      </c>
      <c r="F524" t="inlineStr">
        <is>
          <t>KALMAR LÄN</t>
        </is>
      </c>
      <c r="G524" t="inlineStr">
        <is>
          <t>OSKARSHAMN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10404-2023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44987</v>
      </c>
      <c r="E525" s="1" t="n">
        <v>46253</v>
      </c>
      <c r="F525" t="inlineStr">
        <is>
          <t>KALMAR LÄN</t>
        </is>
      </c>
      <c r="G525" t="inlineStr">
        <is>
          <t>OSKARSHAMN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31146-2023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45113</v>
      </c>
      <c r="E526" s="1" t="n">
        <v>46253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46253</v>
      </c>
      <c r="F527" t="inlineStr">
        <is>
          <t>KALMAR LÄN</t>
        </is>
      </c>
      <c r="G527" t="inlineStr">
        <is>
          <t>OSKARSHAMN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46253</v>
      </c>
      <c r="F528" t="inlineStr">
        <is>
          <t>KALMAR LÄN</t>
        </is>
      </c>
      <c r="G528" t="inlineStr">
        <is>
          <t>OSKARSHAMN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44755</v>
      </c>
      <c r="E529" s="1" t="n">
        <v>46253</v>
      </c>
      <c r="F529" t="inlineStr">
        <is>
          <t>KALMAR LÄN</t>
        </is>
      </c>
      <c r="G529" t="inlineStr">
        <is>
          <t>OSKARSHAMN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45041</v>
      </c>
      <c r="E530" s="1" t="n">
        <v>46253</v>
      </c>
      <c r="F530" t="inlineStr">
        <is>
          <t>KALMAR LÄN</t>
        </is>
      </c>
      <c r="G530" t="inlineStr">
        <is>
          <t>OSKARSHAMN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45240</v>
      </c>
      <c r="E531" s="1" t="n">
        <v>46253</v>
      </c>
      <c r="F531" t="inlineStr">
        <is>
          <t>KALMAR LÄN</t>
        </is>
      </c>
      <c r="G531" t="inlineStr">
        <is>
          <t>OSKARSHAMN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39939-2023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45168</v>
      </c>
      <c r="E532" s="1" t="n">
        <v>46253</v>
      </c>
      <c r="F532" t="inlineStr">
        <is>
          <t>KALMAR LÄN</t>
        </is>
      </c>
      <c r="G532" t="inlineStr">
        <is>
          <t>OSKARSHAMN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29022-2022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44749</v>
      </c>
      <c r="E533" s="1" t="n">
        <v>46253</v>
      </c>
      <c r="F533" t="inlineStr">
        <is>
          <t>KALMAR LÄN</t>
        </is>
      </c>
      <c r="G533" t="inlineStr">
        <is>
          <t>OSKARSHAMN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46253</v>
      </c>
      <c r="F534" t="inlineStr">
        <is>
          <t>KALMAR LÄN</t>
        </is>
      </c>
      <c r="G534" t="inlineStr">
        <is>
          <t>OSKARSHAMN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45700</v>
      </c>
      <c r="E535" s="1" t="n">
        <v>46253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15875-2022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44664</v>
      </c>
      <c r="E536" s="1" t="n">
        <v>46253</v>
      </c>
      <c r="F536" t="inlineStr">
        <is>
          <t>KALMAR LÄN</t>
        </is>
      </c>
      <c r="G536" t="inlineStr">
        <is>
          <t>OSKARSHAMN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10725-2024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45369</v>
      </c>
      <c r="E537" s="1" t="n">
        <v>46253</v>
      </c>
      <c r="F537" t="inlineStr">
        <is>
          <t>KALMAR LÄN</t>
        </is>
      </c>
      <c r="G537" t="inlineStr">
        <is>
          <t>OSKARSHAMN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46253</v>
      </c>
      <c r="F538" t="inlineStr">
        <is>
          <t>KALMAR LÄN</t>
        </is>
      </c>
      <c r="G538" t="inlineStr">
        <is>
          <t>OSKARSHAMN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46253</v>
      </c>
      <c r="F539" t="inlineStr">
        <is>
          <t>KALMAR LÄN</t>
        </is>
      </c>
      <c r="G539" t="inlineStr">
        <is>
          <t>OSKARSHAMN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21906-2022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44711</v>
      </c>
      <c r="E540" s="1" t="n">
        <v>46253</v>
      </c>
      <c r="F540" t="inlineStr">
        <is>
          <t>KALMAR LÄN</t>
        </is>
      </c>
      <c r="G540" t="inlineStr">
        <is>
          <t>OSKARSHAMN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45110</v>
      </c>
      <c r="E541" s="1" t="n">
        <v>46253</v>
      </c>
      <c r="F541" t="inlineStr">
        <is>
          <t>KALMAR LÄN</t>
        </is>
      </c>
      <c r="G541" t="inlineStr">
        <is>
          <t>OSKARSHAMN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46253</v>
      </c>
      <c r="F542" t="inlineStr">
        <is>
          <t>KALMAR LÄN</t>
        </is>
      </c>
      <c r="G542" t="inlineStr">
        <is>
          <t>OSKARSHAMN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2587-2023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44943</v>
      </c>
      <c r="E543" s="1" t="n">
        <v>46253</v>
      </c>
      <c r="F543" t="inlineStr">
        <is>
          <t>KALMAR LÄN</t>
        </is>
      </c>
      <c r="G543" t="inlineStr">
        <is>
          <t>OSKARSHAMN</t>
        </is>
      </c>
      <c r="I543" t="n">
        <v>10.8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45113</v>
      </c>
      <c r="E544" s="1" t="n">
        <v>46253</v>
      </c>
      <c r="F544" t="inlineStr">
        <is>
          <t>KALMAR LÄN</t>
        </is>
      </c>
      <c r="G544" t="inlineStr">
        <is>
          <t>OSKARSHAMN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45701</v>
      </c>
      <c r="E545" s="1" t="n">
        <v>46253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50256-2023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45209</v>
      </c>
      <c r="E546" s="1" t="n">
        <v>46253</v>
      </c>
      <c r="F546" t="inlineStr">
        <is>
          <t>KALMAR LÄN</t>
        </is>
      </c>
      <c r="G546" t="inlineStr">
        <is>
          <t>OSKARSHAMN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17623-2023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46253</v>
      </c>
      <c r="F547" t="inlineStr">
        <is>
          <t>KALMAR LÄN</t>
        </is>
      </c>
      <c r="G547" t="inlineStr">
        <is>
          <t>OSKARSHAMN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45695</v>
      </c>
      <c r="E548" s="1" t="n">
        <v>46253</v>
      </c>
      <c r="F548" t="inlineStr">
        <is>
          <t>KALMAR LÄN</t>
        </is>
      </c>
      <c r="G548" t="inlineStr">
        <is>
          <t>OSKARSHAMN</t>
        </is>
      </c>
      <c r="I548" t="n">
        <v>11.2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46253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46253</v>
      </c>
      <c r="F550" t="inlineStr">
        <is>
          <t>KALMAR LÄN</t>
        </is>
      </c>
      <c r="G550" t="inlineStr">
        <is>
          <t>OSKARSHAMN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14129-2025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45740</v>
      </c>
      <c r="E551" s="1" t="n">
        <v>46253</v>
      </c>
      <c r="F551" t="inlineStr">
        <is>
          <t>KALMAR LÄN</t>
        </is>
      </c>
      <c r="G551" t="inlineStr">
        <is>
          <t>OSKARSHAMN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45469</v>
      </c>
      <c r="E552" s="1" t="n">
        <v>46253</v>
      </c>
      <c r="F552" t="inlineStr">
        <is>
          <t>KALMAR LÄN</t>
        </is>
      </c>
      <c r="G552" t="inlineStr">
        <is>
          <t>OSKARSHAMN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45233</v>
      </c>
      <c r="E553" s="1" t="n">
        <v>46253</v>
      </c>
      <c r="F553" t="inlineStr">
        <is>
          <t>KALMAR LÄN</t>
        </is>
      </c>
      <c r="G553" t="inlineStr">
        <is>
          <t>OSKARSHAMN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46253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43934-2024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45572</v>
      </c>
      <c r="E555" s="1" t="n">
        <v>46253</v>
      </c>
      <c r="F555" t="inlineStr">
        <is>
          <t>KALMAR LÄN</t>
        </is>
      </c>
      <c r="G555" t="inlineStr">
        <is>
          <t>OSKARSHAMN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46253</v>
      </c>
      <c r="F556" t="inlineStr">
        <is>
          <t>KALMAR LÄN</t>
        </is>
      </c>
      <c r="G556" t="inlineStr">
        <is>
          <t>OSKARSHAMN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46253</v>
      </c>
      <c r="F557" t="inlineStr">
        <is>
          <t>KALMAR LÄN</t>
        </is>
      </c>
      <c r="G557" t="inlineStr">
        <is>
          <t>OSKARSHAMN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45224</v>
      </c>
      <c r="E558" s="1" t="n">
        <v>46253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46253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46253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46253</v>
      </c>
      <c r="F561" t="inlineStr">
        <is>
          <t>KALMAR LÄN</t>
        </is>
      </c>
      <c r="G561" t="inlineStr">
        <is>
          <t>OSKARSHAMN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45796</v>
      </c>
      <c r="E562" s="1" t="n">
        <v>46253</v>
      </c>
      <c r="F562" t="inlineStr">
        <is>
          <t>KALMAR LÄN</t>
        </is>
      </c>
      <c r="G562" t="inlineStr">
        <is>
          <t>OSKARSHAMN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47956-2023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46253</v>
      </c>
      <c r="F563" t="inlineStr">
        <is>
          <t>KALMAR LÄN</t>
        </is>
      </c>
      <c r="G563" t="inlineStr">
        <is>
          <t>OSKARSHAMN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45526</v>
      </c>
      <c r="E564" s="1" t="n">
        <v>46253</v>
      </c>
      <c r="F564" t="inlineStr">
        <is>
          <t>KALMAR LÄN</t>
        </is>
      </c>
      <c r="G564" t="inlineStr">
        <is>
          <t>OSKARSHAMN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46253</v>
      </c>
      <c r="F565" t="inlineStr">
        <is>
          <t>KALMAR LÄN</t>
        </is>
      </c>
      <c r="G565" t="inlineStr">
        <is>
          <t>OSKARSHAMN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46253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46253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2026-2022</t>
        </is>
      </c>
      <c r="B568" t="inlineStr">
        <is>
          <t>samrådsanmälan</t>
        </is>
      </c>
      <c r="C568" t="inlineStr">
        <is>
          <t>Åtgärd i nyckelbiotop</t>
        </is>
      </c>
      <c r="D568" s="1" t="n">
        <v>44665</v>
      </c>
      <c r="E568" s="1" t="n">
        <v>46253</v>
      </c>
      <c r="F568" t="inlineStr">
        <is>
          <t>KALMAR LÄN</t>
        </is>
      </c>
      <c r="G568" t="inlineStr">
        <is>
          <t>OSKARSHAMN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1437-2022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44634</v>
      </c>
      <c r="E569" s="1" t="n">
        <v>46253</v>
      </c>
      <c r="F569" t="inlineStr">
        <is>
          <t>KALMAR LÄN</t>
        </is>
      </c>
      <c r="G569" t="inlineStr">
        <is>
          <t>OSKARSHAMN</t>
        </is>
      </c>
      <c r="I569" t="n">
        <v>24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679-2024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46253</v>
      </c>
      <c r="F570" t="inlineStr">
        <is>
          <t>KALMAR LÄN</t>
        </is>
      </c>
      <c r="G570" t="inlineStr">
        <is>
          <t>OSKARSHAMN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4832-2024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45615</v>
      </c>
      <c r="E571" s="1" t="n">
        <v>46253</v>
      </c>
      <c r="F571" t="inlineStr">
        <is>
          <t>KALMAR LÄN</t>
        </is>
      </c>
      <c r="G571" t="inlineStr">
        <is>
          <t>OSKARSHAMN</t>
        </is>
      </c>
      <c r="H571" t="inlineStr">
        <is>
          <t>Kommuner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1910-2023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45078</v>
      </c>
      <c r="E572" s="1" t="n">
        <v>46253</v>
      </c>
      <c r="F572" t="inlineStr">
        <is>
          <t>KALMAR LÄN</t>
        </is>
      </c>
      <c r="G572" t="inlineStr">
        <is>
          <t>OSKARSHAMN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678-2024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46253</v>
      </c>
      <c r="F573" t="inlineStr">
        <is>
          <t>KALMAR LÄN</t>
        </is>
      </c>
      <c r="G573" t="inlineStr">
        <is>
          <t>OSKARSHAMN</t>
        </is>
      </c>
      <c r="I573" t="n">
        <v>52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6585-2021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44455</v>
      </c>
      <c r="E574" s="1" t="n">
        <v>46253</v>
      </c>
      <c r="F574" t="inlineStr">
        <is>
          <t>KALMAR LÄN</t>
        </is>
      </c>
      <c r="G574" t="inlineStr">
        <is>
          <t>OSKARSHAMN</t>
        </is>
      </c>
      <c r="H574" t="inlineStr">
        <is>
          <t>Sveaskog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4600-2023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45287</v>
      </c>
      <c r="E575" s="1" t="n">
        <v>46253</v>
      </c>
      <c r="F575" t="inlineStr">
        <is>
          <t>KALMAR LÄN</t>
        </is>
      </c>
      <c r="G575" t="inlineStr">
        <is>
          <t>OSKARSHAMN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46253</v>
      </c>
      <c r="F576" t="inlineStr">
        <is>
          <t>KALMAR LÄN</t>
        </is>
      </c>
      <c r="G576" t="inlineStr">
        <is>
          <t>OSKARSHAMN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2620-2024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45477</v>
      </c>
      <c r="E577" s="1" t="n">
        <v>46253</v>
      </c>
      <c r="F577" t="inlineStr">
        <is>
          <t>KALMAR LÄN</t>
        </is>
      </c>
      <c r="G577" t="inlineStr">
        <is>
          <t>OSKARSHAMN</t>
        </is>
      </c>
      <c r="I577" t="n">
        <v>12.5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3313-2023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45195</v>
      </c>
      <c r="E578" s="1" t="n">
        <v>46253</v>
      </c>
      <c r="F578" t="inlineStr">
        <is>
          <t>KALMAR LÄN</t>
        </is>
      </c>
      <c r="G578" t="inlineStr">
        <is>
          <t>OSKARSHAMN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821-2023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44988</v>
      </c>
      <c r="E579" s="1" t="n">
        <v>46253</v>
      </c>
      <c r="F579" t="inlineStr">
        <is>
          <t>KALMAR LÄN</t>
        </is>
      </c>
      <c r="G579" t="inlineStr">
        <is>
          <t>OSKARSHAMN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45476</v>
      </c>
      <c r="E580" s="1" t="n">
        <v>46253</v>
      </c>
      <c r="F580" t="inlineStr">
        <is>
          <t>KALMAR LÄN</t>
        </is>
      </c>
      <c r="G580" t="inlineStr">
        <is>
          <t>OSKARSHAMN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677-2024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46253</v>
      </c>
      <c r="F581" t="inlineStr">
        <is>
          <t>KALMAR LÄN</t>
        </is>
      </c>
      <c r="G581" t="inlineStr">
        <is>
          <t>OSKARSHAMN</t>
        </is>
      </c>
      <c r="I581" t="n">
        <v>37.5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46253</v>
      </c>
      <c r="F582" t="inlineStr">
        <is>
          <t>KALMAR LÄN</t>
        </is>
      </c>
      <c r="G582" t="inlineStr">
        <is>
          <t>OSKARSHAMN</t>
        </is>
      </c>
      <c r="I582" t="n">
        <v>47.2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45470</v>
      </c>
      <c r="E583" s="1" t="n">
        <v>46253</v>
      </c>
      <c r="F583" t="inlineStr">
        <is>
          <t>KALMAR LÄN</t>
        </is>
      </c>
      <c r="G583" t="inlineStr">
        <is>
          <t>OSKARSHAMN</t>
        </is>
      </c>
      <c r="I583" t="n">
        <v>34.4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712-2023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44979</v>
      </c>
      <c r="E584" s="1" t="n">
        <v>46253</v>
      </c>
      <c r="F584" t="inlineStr">
        <is>
          <t>KALMAR LÄN</t>
        </is>
      </c>
      <c r="G584" t="inlineStr">
        <is>
          <t>OSKARSHAMN</t>
        </is>
      </c>
      <c r="I584" t="n">
        <v>24.6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2367-2025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45889</v>
      </c>
      <c r="E585" s="1" t="n">
        <v>46253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2970-2025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45954</v>
      </c>
      <c r="E586" s="1" t="n">
        <v>46253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46009</v>
      </c>
      <c r="E587" s="1" t="n">
        <v>46253</v>
      </c>
      <c r="F587" t="inlineStr">
        <is>
          <t>KALMAR LÄN</t>
        </is>
      </c>
      <c r="G587" t="inlineStr">
        <is>
          <t>OSKARSHAMN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45468</v>
      </c>
      <c r="E588" s="1" t="n">
        <v>46253</v>
      </c>
      <c r="F588" t="inlineStr">
        <is>
          <t>KALMAR LÄN</t>
        </is>
      </c>
      <c r="G588" t="inlineStr">
        <is>
          <t>OSKARSHAMN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1820-2026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46197</v>
      </c>
      <c r="E589" s="1" t="n">
        <v>46253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2026-08-19T01:48:59Z</dcterms:created>
  <dcterms:modified xmlns:dcterms="http://purl.org/dc/terms/" xmlns:xsi="http://www.w3.org/2001/XMLSchema-instance" xsi:type="dcterms:W3CDTF">2026-08-19T01:49:00Z</dcterms:modified>
</cp:coreProperties>
</file>