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45728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45728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45728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45728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45728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45728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45728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45728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45728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45728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45728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45728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45728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45728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45728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45728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45728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45728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45728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45728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45728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45728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45728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45728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45728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45728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45728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45728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45728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45728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45728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45728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45728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45728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45728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45728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45728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45728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45728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45728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45728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45728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45728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45728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45728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45728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45728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45728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45728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45728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45728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45728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45728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45728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45728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45728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34678-2019</t>
        </is>
      </c>
      <c r="B58" s="1" t="n">
        <v>43657</v>
      </c>
      <c r="C58" s="1" t="n">
        <v>45728</v>
      </c>
      <c r="D58" t="inlineStr">
        <is>
          <t>KALMAR LÄN</t>
        </is>
      </c>
      <c r="E58" t="inlineStr">
        <is>
          <t>OSKARSHAMN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Rävticka</t>
        </is>
      </c>
      <c r="S58">
        <f>HYPERLINK("https://klasma.github.io/Logging_0882/artfynd/A 34678-2019 artfynd.xlsx", "A 34678-2019")</f>
        <v/>
      </c>
      <c r="T58">
        <f>HYPERLINK("https://klasma.github.io/Logging_0882/kartor/A 34678-2019 karta.png", "A 34678-2019")</f>
        <v/>
      </c>
      <c r="V58">
        <f>HYPERLINK("https://klasma.github.io/Logging_0882/klagomål/A 34678-2019 FSC-klagomål.docx", "A 34678-2019")</f>
        <v/>
      </c>
      <c r="W58">
        <f>HYPERLINK("https://klasma.github.io/Logging_0882/klagomålsmail/A 34678-2019 FSC-klagomål mail.docx", "A 34678-2019")</f>
        <v/>
      </c>
      <c r="X58">
        <f>HYPERLINK("https://klasma.github.io/Logging_0882/tillsyn/A 34678-2019 tillsynsbegäran.docx", "A 34678-2019")</f>
        <v/>
      </c>
      <c r="Y58">
        <f>HYPERLINK("https://klasma.github.io/Logging_0882/tillsynsmail/A 34678-2019 tillsynsbegäran mail.docx", "A 34678-2019")</f>
        <v/>
      </c>
    </row>
    <row r="59" ht="15" customHeight="1">
      <c r="A59" t="inlineStr">
        <is>
          <t>A 36540-2019</t>
        </is>
      </c>
      <c r="B59" s="1" t="n">
        <v>43671</v>
      </c>
      <c r="C59" s="1" t="n">
        <v>45728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HYPERLINK("https://klasma.github.io/Logging_0882/artfynd/A 36540-2019 artfynd.xlsx", "A 36540-2019")</f>
        <v/>
      </c>
      <c r="T59">
        <f>HYPERLINK("https://klasma.github.io/Logging_0882/kartor/A 36540-2019 karta.png", "A 36540-2019")</f>
        <v/>
      </c>
      <c r="V59">
        <f>HYPERLINK("https://klasma.github.io/Logging_0882/klagomål/A 36540-2019 FSC-klagomål.docx", "A 36540-2019")</f>
        <v/>
      </c>
      <c r="W59">
        <f>HYPERLINK("https://klasma.github.io/Logging_0882/klagomålsmail/A 36540-2019 FSC-klagomål mail.docx", "A 36540-2019")</f>
        <v/>
      </c>
      <c r="X59">
        <f>HYPERLINK("https://klasma.github.io/Logging_0882/tillsyn/A 36540-2019 tillsynsbegäran.docx", "A 36540-2019")</f>
        <v/>
      </c>
      <c r="Y59">
        <f>HYPERLINK("https://klasma.github.io/Logging_0882/tillsynsmail/A 36540-2019 tillsynsbegäran mail.docx", "A 36540-2019")</f>
        <v/>
      </c>
    </row>
    <row r="60" ht="15" customHeight="1">
      <c r="A60" t="inlineStr">
        <is>
          <t>A 36542-2019</t>
        </is>
      </c>
      <c r="B60" s="1" t="n">
        <v>43671</v>
      </c>
      <c r="C60" s="1" t="n">
        <v>45728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HYPERLINK("https://klasma.github.io/Logging_0882/artfynd/A 36542-2019 artfynd.xlsx", "A 36542-2019")</f>
        <v/>
      </c>
      <c r="T60">
        <f>HYPERLINK("https://klasma.github.io/Logging_0882/kartor/A 36542-2019 karta.png", "A 36542-2019")</f>
        <v/>
      </c>
      <c r="V60">
        <f>HYPERLINK("https://klasma.github.io/Logging_0882/klagomål/A 36542-2019 FSC-klagomål.docx", "A 36542-2019")</f>
        <v/>
      </c>
      <c r="W60">
        <f>HYPERLINK("https://klasma.github.io/Logging_0882/klagomålsmail/A 36542-2019 FSC-klagomål mail.docx", "A 36542-2019")</f>
        <v/>
      </c>
      <c r="X60">
        <f>HYPERLINK("https://klasma.github.io/Logging_0882/tillsyn/A 36542-2019 tillsynsbegäran.docx", "A 36542-2019")</f>
        <v/>
      </c>
      <c r="Y60">
        <f>HYPERLINK("https://klasma.github.io/Logging_0882/tillsynsmail/A 36542-2019 tillsynsbegäran mail.docx", "A 36542-2019")</f>
        <v/>
      </c>
    </row>
    <row r="61" ht="15" customHeight="1">
      <c r="A61" t="inlineStr">
        <is>
          <t>A 38830-2020</t>
        </is>
      </c>
      <c r="B61" s="1" t="n">
        <v>44062</v>
      </c>
      <c r="C61" s="1" t="n">
        <v>45728</v>
      </c>
      <c r="D61" t="inlineStr">
        <is>
          <t>KALMAR LÄN</t>
        </is>
      </c>
      <c r="E61" t="inlineStr">
        <is>
          <t>OSKARSHAMN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Blek kraterlav</t>
        </is>
      </c>
      <c r="S61">
        <f>HYPERLINK("https://klasma.github.io/Logging_0882/artfynd/A 38830-2020 artfynd.xlsx", "A 38830-2020")</f>
        <v/>
      </c>
      <c r="T61">
        <f>HYPERLINK("https://klasma.github.io/Logging_0882/kartor/A 38830-2020 karta.png", "A 38830-2020")</f>
        <v/>
      </c>
      <c r="V61">
        <f>HYPERLINK("https://klasma.github.io/Logging_0882/klagomål/A 38830-2020 FSC-klagomål.docx", "A 38830-2020")</f>
        <v/>
      </c>
      <c r="W61">
        <f>HYPERLINK("https://klasma.github.io/Logging_0882/klagomålsmail/A 38830-2020 FSC-klagomål mail.docx", "A 38830-2020")</f>
        <v/>
      </c>
      <c r="X61">
        <f>HYPERLINK("https://klasma.github.io/Logging_0882/tillsyn/A 38830-2020 tillsynsbegäran.docx", "A 38830-2020")</f>
        <v/>
      </c>
      <c r="Y61">
        <f>HYPERLINK("https://klasma.github.io/Logging_0882/tillsynsmail/A 38830-2020 tillsynsbegäran mail.docx", "A 38830-2020")</f>
        <v/>
      </c>
    </row>
    <row r="62" ht="15" customHeight="1">
      <c r="A62" t="inlineStr">
        <is>
          <t>A 42248-2020</t>
        </is>
      </c>
      <c r="B62" s="1" t="n">
        <v>44076</v>
      </c>
      <c r="C62" s="1" t="n">
        <v>45728</v>
      </c>
      <c r="D62" t="inlineStr">
        <is>
          <t>KALMAR LÄN</t>
        </is>
      </c>
      <c r="E62" t="inlineStr">
        <is>
          <t>OSKARSHAMN</t>
        </is>
      </c>
      <c r="G62" t="n">
        <v>2.5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42248-2020 artfynd.xlsx", "A 42248-2020")</f>
        <v/>
      </c>
      <c r="T62">
        <f>HYPERLINK("https://klasma.github.io/Logging_0882/kartor/A 42248-2020 karta.png", "A 42248-2020")</f>
        <v/>
      </c>
      <c r="V62">
        <f>HYPERLINK("https://klasma.github.io/Logging_0882/klagomål/A 42248-2020 FSC-klagomål.docx", "A 42248-2020")</f>
        <v/>
      </c>
      <c r="W62">
        <f>HYPERLINK("https://klasma.github.io/Logging_0882/klagomålsmail/A 42248-2020 FSC-klagomål mail.docx", "A 42248-2020")</f>
        <v/>
      </c>
      <c r="X62">
        <f>HYPERLINK("https://klasma.github.io/Logging_0882/tillsyn/A 42248-2020 tillsynsbegäran.docx", "A 42248-2020")</f>
        <v/>
      </c>
      <c r="Y62">
        <f>HYPERLINK("https://klasma.github.io/Logging_0882/tillsynsmail/A 42248-2020 tillsynsbegäran mail.docx", "A 42248-2020")</f>
        <v/>
      </c>
    </row>
    <row r="63" ht="15" customHeight="1">
      <c r="A63" t="inlineStr">
        <is>
          <t>A 67334-2020</t>
        </is>
      </c>
      <c r="B63" s="1" t="n">
        <v>44181</v>
      </c>
      <c r="C63" s="1" t="n">
        <v>45728</v>
      </c>
      <c r="D63" t="inlineStr">
        <is>
          <t>KALMAR LÄN</t>
        </is>
      </c>
      <c r="E63" t="inlineStr">
        <is>
          <t>OSKARSHAMN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HYPERLINK("https://klasma.github.io/Logging_0882/artfynd/A 67334-2020 artfynd.xlsx", "A 67334-2020")</f>
        <v/>
      </c>
      <c r="T63">
        <f>HYPERLINK("https://klasma.github.io/Logging_0882/kartor/A 67334-2020 karta.png", "A 67334-2020")</f>
        <v/>
      </c>
      <c r="V63">
        <f>HYPERLINK("https://klasma.github.io/Logging_0882/klagomål/A 67334-2020 FSC-klagomål.docx", "A 67334-2020")</f>
        <v/>
      </c>
      <c r="W63">
        <f>HYPERLINK("https://klasma.github.io/Logging_0882/klagomålsmail/A 67334-2020 FSC-klagomål mail.docx", "A 67334-2020")</f>
        <v/>
      </c>
      <c r="X63">
        <f>HYPERLINK("https://klasma.github.io/Logging_0882/tillsyn/A 67334-2020 tillsynsbegäran.docx", "A 67334-2020")</f>
        <v/>
      </c>
      <c r="Y63">
        <f>HYPERLINK("https://klasma.github.io/Logging_0882/tillsynsmail/A 67334-2020 tillsynsbegäran mail.docx", "A 67334-2020")</f>
        <v/>
      </c>
      <c r="Z63">
        <f>HYPERLINK("https://klasma.github.io/Logging_0882/fåglar/A 67334-2020 prioriterade fågelarter.docx", "A 67334-2020")</f>
        <v/>
      </c>
    </row>
    <row r="64" ht="15" customHeight="1">
      <c r="A64" t="inlineStr">
        <is>
          <t>A 12329-2021</t>
        </is>
      </c>
      <c r="B64" s="1" t="n">
        <v>44267</v>
      </c>
      <c r="C64" s="1" t="n">
        <v>45728</v>
      </c>
      <c r="D64" t="inlineStr">
        <is>
          <t>KALMAR LÄN</t>
        </is>
      </c>
      <c r="E64" t="inlineStr">
        <is>
          <t>OSKARSHAMN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HYPERLINK("https://klasma.github.io/Logging_0882/artfynd/A 12329-2021 artfynd.xlsx", "A 12329-2021")</f>
        <v/>
      </c>
      <c r="T64">
        <f>HYPERLINK("https://klasma.github.io/Logging_0882/kartor/A 12329-2021 karta.png", "A 12329-2021")</f>
        <v/>
      </c>
      <c r="V64">
        <f>HYPERLINK("https://klasma.github.io/Logging_0882/klagomål/A 12329-2021 FSC-klagomål.docx", "A 12329-2021")</f>
        <v/>
      </c>
      <c r="W64">
        <f>HYPERLINK("https://klasma.github.io/Logging_0882/klagomålsmail/A 12329-2021 FSC-klagomål mail.docx", "A 12329-2021")</f>
        <v/>
      </c>
      <c r="X64">
        <f>HYPERLINK("https://klasma.github.io/Logging_0882/tillsyn/A 12329-2021 tillsynsbegäran.docx", "A 12329-2021")</f>
        <v/>
      </c>
      <c r="Y64">
        <f>HYPERLINK("https://klasma.github.io/Logging_0882/tillsynsmail/A 12329-2021 tillsynsbegäran mail.docx", "A 12329-2021")</f>
        <v/>
      </c>
    </row>
    <row r="65" ht="15" customHeight="1">
      <c r="A65" t="inlineStr">
        <is>
          <t>A 25380-2021</t>
        </is>
      </c>
      <c r="B65" s="1" t="n">
        <v>44342</v>
      </c>
      <c r="C65" s="1" t="n">
        <v>45728</v>
      </c>
      <c r="D65" t="inlineStr">
        <is>
          <t>KALMAR LÄN</t>
        </is>
      </c>
      <c r="E65" t="inlineStr">
        <is>
          <t>OSKARSHAMN</t>
        </is>
      </c>
      <c r="F65" t="inlineStr">
        <is>
          <t>Kommuner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Grönbladsbjörnbär</t>
        </is>
      </c>
      <c r="S65">
        <f>HYPERLINK("https://klasma.github.io/Logging_0882/artfynd/A 25380-2021 artfynd.xlsx", "A 25380-2021")</f>
        <v/>
      </c>
      <c r="T65">
        <f>HYPERLINK("https://klasma.github.io/Logging_0882/kartor/A 25380-2021 karta.png", "A 25380-2021")</f>
        <v/>
      </c>
      <c r="V65">
        <f>HYPERLINK("https://klasma.github.io/Logging_0882/klagomål/A 25380-2021 FSC-klagomål.docx", "A 25380-2021")</f>
        <v/>
      </c>
      <c r="W65">
        <f>HYPERLINK("https://klasma.github.io/Logging_0882/klagomålsmail/A 25380-2021 FSC-klagomål mail.docx", "A 25380-2021")</f>
        <v/>
      </c>
      <c r="X65">
        <f>HYPERLINK("https://klasma.github.io/Logging_0882/tillsyn/A 25380-2021 tillsynsbegäran.docx", "A 25380-2021")</f>
        <v/>
      </c>
      <c r="Y65">
        <f>HYPERLINK("https://klasma.github.io/Logging_0882/tillsynsmail/A 25380-2021 tillsynsbegäran mail.docx", "A 25380-2021")</f>
        <v/>
      </c>
    </row>
    <row r="66" ht="15" customHeight="1">
      <c r="A66" t="inlineStr">
        <is>
          <t>A 25677-2021</t>
        </is>
      </c>
      <c r="B66" s="1" t="n">
        <v>44343</v>
      </c>
      <c r="C66" s="1" t="n">
        <v>45728</v>
      </c>
      <c r="D66" t="inlineStr">
        <is>
          <t>KALMAR LÄN</t>
        </is>
      </c>
      <c r="E66" t="inlineStr">
        <is>
          <t>OSKARSHAMN</t>
        </is>
      </c>
      <c r="G66" t="n">
        <v>7.5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25677-2021 artfynd.xlsx", "A 25677-2021")</f>
        <v/>
      </c>
      <c r="T66">
        <f>HYPERLINK("https://klasma.github.io/Logging_0882/kartor/A 25677-2021 karta.png", "A 25677-2021")</f>
        <v/>
      </c>
      <c r="V66">
        <f>HYPERLINK("https://klasma.github.io/Logging_0882/klagomål/A 25677-2021 FSC-klagomål.docx", "A 25677-2021")</f>
        <v/>
      </c>
      <c r="W66">
        <f>HYPERLINK("https://klasma.github.io/Logging_0882/klagomålsmail/A 25677-2021 FSC-klagomål mail.docx", "A 25677-2021")</f>
        <v/>
      </c>
      <c r="X66">
        <f>HYPERLINK("https://klasma.github.io/Logging_0882/tillsyn/A 25677-2021 tillsynsbegäran.docx", "A 25677-2021")</f>
        <v/>
      </c>
      <c r="Y66">
        <f>HYPERLINK("https://klasma.github.io/Logging_0882/tillsynsmail/A 25677-2021 tillsynsbegäran mail.docx", "A 25677-2021")</f>
        <v/>
      </c>
      <c r="Z66">
        <f>HYPERLINK("https://klasma.github.io/Logging_0882/fåglar/A 25677-2021 prioriterade fågelarter.docx", "A 25677-2021")</f>
        <v/>
      </c>
    </row>
    <row r="67" ht="15" customHeight="1">
      <c r="A67" t="inlineStr">
        <is>
          <t>A 28299-2021</t>
        </is>
      </c>
      <c r="B67" s="1" t="n">
        <v>44356</v>
      </c>
      <c r="C67" s="1" t="n">
        <v>45728</v>
      </c>
      <c r="D67" t="inlineStr">
        <is>
          <t>KALMAR LÄN</t>
        </is>
      </c>
      <c r="E67" t="inlineStr">
        <is>
          <t>OSKARSHAMN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HYPERLINK("https://klasma.github.io/Logging_0882/artfynd/A 28299-2021 artfynd.xlsx", "A 28299-2021")</f>
        <v/>
      </c>
      <c r="T67">
        <f>HYPERLINK("https://klasma.github.io/Logging_0882/kartor/A 28299-2021 karta.png", "A 28299-2021")</f>
        <v/>
      </c>
      <c r="V67">
        <f>HYPERLINK("https://klasma.github.io/Logging_0882/klagomål/A 28299-2021 FSC-klagomål.docx", "A 28299-2021")</f>
        <v/>
      </c>
      <c r="W67">
        <f>HYPERLINK("https://klasma.github.io/Logging_0882/klagomålsmail/A 28299-2021 FSC-klagomål mail.docx", "A 28299-2021")</f>
        <v/>
      </c>
      <c r="X67">
        <f>HYPERLINK("https://klasma.github.io/Logging_0882/tillsyn/A 28299-2021 tillsynsbegäran.docx", "A 28299-2021")</f>
        <v/>
      </c>
      <c r="Y67">
        <f>HYPERLINK("https://klasma.github.io/Logging_0882/tillsynsmail/A 28299-2021 tillsynsbegäran mail.docx", "A 28299-2021")</f>
        <v/>
      </c>
      <c r="Z67">
        <f>HYPERLINK("https://klasma.github.io/Logging_0882/fåglar/A 28299-2021 prioriterade fågelarter.docx", "A 28299-2021")</f>
        <v/>
      </c>
    </row>
    <row r="68" ht="15" customHeight="1">
      <c r="A68" t="inlineStr">
        <is>
          <t>A 28298-2021</t>
        </is>
      </c>
      <c r="B68" s="1" t="n">
        <v>44356</v>
      </c>
      <c r="C68" s="1" t="n">
        <v>45728</v>
      </c>
      <c r="D68" t="inlineStr">
        <is>
          <t>KALMAR LÄN</t>
        </is>
      </c>
      <c r="E68" t="inlineStr">
        <is>
          <t>OSKARSHAMN</t>
        </is>
      </c>
      <c r="G68" t="n">
        <v>6.3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HYPERLINK("https://klasma.github.io/Logging_0882/artfynd/A 28298-2021 artfynd.xlsx", "A 28298-2021")</f>
        <v/>
      </c>
      <c r="T68">
        <f>HYPERLINK("https://klasma.github.io/Logging_0882/kartor/A 28298-2021 karta.png", "A 28298-2021")</f>
        <v/>
      </c>
      <c r="V68">
        <f>HYPERLINK("https://klasma.github.io/Logging_0882/klagomål/A 28298-2021 FSC-klagomål.docx", "A 28298-2021")</f>
        <v/>
      </c>
      <c r="W68">
        <f>HYPERLINK("https://klasma.github.io/Logging_0882/klagomålsmail/A 28298-2021 FSC-klagomål mail.docx", "A 28298-2021")</f>
        <v/>
      </c>
      <c r="X68">
        <f>HYPERLINK("https://klasma.github.io/Logging_0882/tillsyn/A 28298-2021 tillsynsbegäran.docx", "A 28298-2021")</f>
        <v/>
      </c>
      <c r="Y68">
        <f>HYPERLINK("https://klasma.github.io/Logging_0882/tillsynsmail/A 28298-2021 tillsynsbegäran mail.docx", "A 28298-2021")</f>
        <v/>
      </c>
    </row>
    <row r="69" ht="15" customHeight="1">
      <c r="A69" t="inlineStr">
        <is>
          <t>A 33837-2021</t>
        </is>
      </c>
      <c r="B69" s="1" t="n">
        <v>44378</v>
      </c>
      <c r="C69" s="1" t="n">
        <v>45728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HYPERLINK("https://klasma.github.io/Logging_0882/artfynd/A 33837-2021 artfynd.xlsx", "A 33837-2021")</f>
        <v/>
      </c>
      <c r="T69">
        <f>HYPERLINK("https://klasma.github.io/Logging_0882/kartor/A 33837-2021 karta.png", "A 33837-2021")</f>
        <v/>
      </c>
      <c r="V69">
        <f>HYPERLINK("https://klasma.github.io/Logging_0882/klagomål/A 33837-2021 FSC-klagomål.docx", "A 33837-2021")</f>
        <v/>
      </c>
      <c r="W69">
        <f>HYPERLINK("https://klasma.github.io/Logging_0882/klagomålsmail/A 33837-2021 FSC-klagomål mail.docx", "A 33837-2021")</f>
        <v/>
      </c>
      <c r="X69">
        <f>HYPERLINK("https://klasma.github.io/Logging_0882/tillsyn/A 33837-2021 tillsynsbegäran.docx", "A 33837-2021")</f>
        <v/>
      </c>
      <c r="Y69">
        <f>HYPERLINK("https://klasma.github.io/Logging_0882/tillsynsmail/A 33837-2021 tillsynsbegäran mail.docx", "A 33837-2021")</f>
        <v/>
      </c>
    </row>
    <row r="70" ht="15" customHeight="1">
      <c r="A70" t="inlineStr">
        <is>
          <t>A 38317-2021</t>
        </is>
      </c>
      <c r="B70" s="1" t="n">
        <v>44406</v>
      </c>
      <c r="C70" s="1" t="n">
        <v>45728</v>
      </c>
      <c r="D70" t="inlineStr">
        <is>
          <t>KALMAR LÄN</t>
        </is>
      </c>
      <c r="E70" t="inlineStr">
        <is>
          <t>OSKARSHAMN</t>
        </is>
      </c>
      <c r="G70" t="n">
        <v>14.4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38317-2021 artfynd.xlsx", "A 38317-2021")</f>
        <v/>
      </c>
      <c r="T70">
        <f>HYPERLINK("https://klasma.github.io/Logging_0882/kartor/A 38317-2021 karta.png", "A 38317-2021")</f>
        <v/>
      </c>
      <c r="V70">
        <f>HYPERLINK("https://klasma.github.io/Logging_0882/klagomål/A 38317-2021 FSC-klagomål.docx", "A 38317-2021")</f>
        <v/>
      </c>
      <c r="W70">
        <f>HYPERLINK("https://klasma.github.io/Logging_0882/klagomålsmail/A 38317-2021 FSC-klagomål mail.docx", "A 38317-2021")</f>
        <v/>
      </c>
      <c r="X70">
        <f>HYPERLINK("https://klasma.github.io/Logging_0882/tillsyn/A 38317-2021 tillsynsbegäran.docx", "A 38317-2021")</f>
        <v/>
      </c>
      <c r="Y70">
        <f>HYPERLINK("https://klasma.github.io/Logging_0882/tillsynsmail/A 38317-2021 tillsynsbegäran mail.docx", "A 38317-2021")</f>
        <v/>
      </c>
      <c r="Z70">
        <f>HYPERLINK("https://klasma.github.io/Logging_0882/fåglar/A 38317-2021 prioriterade fågelarter.docx", "A 38317-2021")</f>
        <v/>
      </c>
    </row>
    <row r="71" ht="15" customHeight="1">
      <c r="A71" t="inlineStr">
        <is>
          <t>A 38954-2021</t>
        </is>
      </c>
      <c r="B71" s="1" t="n">
        <v>44411</v>
      </c>
      <c r="C71" s="1" t="n">
        <v>45728</v>
      </c>
      <c r="D71" t="inlineStr">
        <is>
          <t>KALMAR LÄN</t>
        </is>
      </c>
      <c r="E71" t="inlineStr">
        <is>
          <t>OSKARSHAMN</t>
        </is>
      </c>
      <c r="G71" t="n">
        <v>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38954-2021 artfynd.xlsx", "A 38954-2021")</f>
        <v/>
      </c>
      <c r="T71">
        <f>HYPERLINK("https://klasma.github.io/Logging_0882/kartor/A 38954-2021 karta.png", "A 38954-2021")</f>
        <v/>
      </c>
      <c r="V71">
        <f>HYPERLINK("https://klasma.github.io/Logging_0882/klagomål/A 38954-2021 FSC-klagomål.docx", "A 38954-2021")</f>
        <v/>
      </c>
      <c r="W71">
        <f>HYPERLINK("https://klasma.github.io/Logging_0882/klagomålsmail/A 38954-2021 FSC-klagomål mail.docx", "A 38954-2021")</f>
        <v/>
      </c>
      <c r="X71">
        <f>HYPERLINK("https://klasma.github.io/Logging_0882/tillsyn/A 38954-2021 tillsynsbegäran.docx", "A 38954-2021")</f>
        <v/>
      </c>
      <c r="Y71">
        <f>HYPERLINK("https://klasma.github.io/Logging_0882/tillsynsmail/A 38954-2021 tillsynsbegäran mail.docx", "A 38954-2021")</f>
        <v/>
      </c>
      <c r="Z71">
        <f>HYPERLINK("https://klasma.github.io/Logging_0882/fåglar/A 38954-2021 prioriterade fågelarter.docx", "A 38954-2021")</f>
        <v/>
      </c>
    </row>
    <row r="72" ht="15" customHeight="1">
      <c r="A72" t="inlineStr">
        <is>
          <t>A 42374-2021</t>
        </is>
      </c>
      <c r="B72" s="1" t="n">
        <v>44427</v>
      </c>
      <c r="C72" s="1" t="n">
        <v>45728</v>
      </c>
      <c r="D72" t="inlineStr">
        <is>
          <t>KALMAR LÄN</t>
        </is>
      </c>
      <c r="E72" t="inlineStr">
        <is>
          <t>OSKARSHAMN</t>
        </is>
      </c>
      <c r="G72" t="n">
        <v>29.4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42374-2021 artfynd.xlsx", "A 42374-2021")</f>
        <v/>
      </c>
      <c r="T72">
        <f>HYPERLINK("https://klasma.github.io/Logging_0882/kartor/A 42374-2021 karta.png", "A 42374-2021")</f>
        <v/>
      </c>
      <c r="V72">
        <f>HYPERLINK("https://klasma.github.io/Logging_0882/klagomål/A 42374-2021 FSC-klagomål.docx", "A 42374-2021")</f>
        <v/>
      </c>
      <c r="W72">
        <f>HYPERLINK("https://klasma.github.io/Logging_0882/klagomålsmail/A 42374-2021 FSC-klagomål mail.docx", "A 42374-2021")</f>
        <v/>
      </c>
      <c r="X72">
        <f>HYPERLINK("https://klasma.github.io/Logging_0882/tillsyn/A 42374-2021 tillsynsbegäran.docx", "A 42374-2021")</f>
        <v/>
      </c>
      <c r="Y72">
        <f>HYPERLINK("https://klasma.github.io/Logging_0882/tillsynsmail/A 42374-2021 tillsynsbegäran mail.docx", "A 42374-2021")</f>
        <v/>
      </c>
      <c r="Z72">
        <f>HYPERLINK("https://klasma.github.io/Logging_0882/fåglar/A 42374-2021 prioriterade fågelarter.docx", "A 42374-2021")</f>
        <v/>
      </c>
    </row>
    <row r="73" ht="15" customHeight="1">
      <c r="A73" t="inlineStr">
        <is>
          <t>A 52162-2021</t>
        </is>
      </c>
      <c r="B73" s="1" t="n">
        <v>44463</v>
      </c>
      <c r="C73" s="1" t="n">
        <v>45728</v>
      </c>
      <c r="D73" t="inlineStr">
        <is>
          <t>KALMAR LÄN</t>
        </is>
      </c>
      <c r="E73" t="inlineStr">
        <is>
          <t>OSKARSHAMN</t>
        </is>
      </c>
      <c r="G73" t="n">
        <v>14.1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HYPERLINK("https://klasma.github.io/Logging_0882/artfynd/A 52162-2021 artfynd.xlsx", "A 52162-2021")</f>
        <v/>
      </c>
      <c r="T73">
        <f>HYPERLINK("https://klasma.github.io/Logging_0882/kartor/A 52162-2021 karta.png", "A 52162-2021")</f>
        <v/>
      </c>
      <c r="V73">
        <f>HYPERLINK("https://klasma.github.io/Logging_0882/klagomål/A 52162-2021 FSC-klagomål.docx", "A 52162-2021")</f>
        <v/>
      </c>
      <c r="W73">
        <f>HYPERLINK("https://klasma.github.io/Logging_0882/klagomålsmail/A 52162-2021 FSC-klagomål mail.docx", "A 52162-2021")</f>
        <v/>
      </c>
      <c r="X73">
        <f>HYPERLINK("https://klasma.github.io/Logging_0882/tillsyn/A 52162-2021 tillsynsbegäran.docx", "A 52162-2021")</f>
        <v/>
      </c>
      <c r="Y73">
        <f>HYPERLINK("https://klasma.github.io/Logging_0882/tillsynsmail/A 52162-2021 tillsynsbegäran mail.docx", "A 52162-2021")</f>
        <v/>
      </c>
    </row>
    <row r="74" ht="15" customHeight="1">
      <c r="A74" t="inlineStr">
        <is>
          <t>A 59683-2021</t>
        </is>
      </c>
      <c r="B74" s="1" t="n">
        <v>44494</v>
      </c>
      <c r="C74" s="1" t="n">
        <v>45728</v>
      </c>
      <c r="D74" t="inlineStr">
        <is>
          <t>KALMAR LÄN</t>
        </is>
      </c>
      <c r="E74" t="inlineStr">
        <is>
          <t>OSKARSHAMN</t>
        </is>
      </c>
      <c r="G74" t="n">
        <v>1.6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59683-2021 artfynd.xlsx", "A 59683-2021")</f>
        <v/>
      </c>
      <c r="T74">
        <f>HYPERLINK("https://klasma.github.io/Logging_0882/kartor/A 59683-2021 karta.png", "A 59683-2021")</f>
        <v/>
      </c>
      <c r="V74">
        <f>HYPERLINK("https://klasma.github.io/Logging_0882/klagomål/A 59683-2021 FSC-klagomål.docx", "A 59683-2021")</f>
        <v/>
      </c>
      <c r="W74">
        <f>HYPERLINK("https://klasma.github.io/Logging_0882/klagomålsmail/A 59683-2021 FSC-klagomål mail.docx", "A 59683-2021")</f>
        <v/>
      </c>
      <c r="X74">
        <f>HYPERLINK("https://klasma.github.io/Logging_0882/tillsyn/A 59683-2021 tillsynsbegäran.docx", "A 59683-2021")</f>
        <v/>
      </c>
      <c r="Y74">
        <f>HYPERLINK("https://klasma.github.io/Logging_0882/tillsynsmail/A 59683-2021 tillsynsbegäran mail.docx", "A 59683-2021")</f>
        <v/>
      </c>
      <c r="Z74">
        <f>HYPERLINK("https://klasma.github.io/Logging_0882/fåglar/A 59683-2021 prioriterade fågelarter.docx", "A 59683-2021")</f>
        <v/>
      </c>
    </row>
    <row r="75" ht="15" customHeight="1">
      <c r="A75" t="inlineStr">
        <is>
          <t>A 32030-2022</t>
        </is>
      </c>
      <c r="B75" s="1" t="n">
        <v>44778</v>
      </c>
      <c r="C75" s="1" t="n">
        <v>45728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32030-2022 artfynd.xlsx", "A 32030-2022")</f>
        <v/>
      </c>
      <c r="T75">
        <f>HYPERLINK("https://klasma.github.io/Logging_0882/kartor/A 32030-2022 karta.png", "A 32030-2022")</f>
        <v/>
      </c>
      <c r="V75">
        <f>HYPERLINK("https://klasma.github.io/Logging_0882/klagomål/A 32030-2022 FSC-klagomål.docx", "A 32030-2022")</f>
        <v/>
      </c>
      <c r="W75">
        <f>HYPERLINK("https://klasma.github.io/Logging_0882/klagomålsmail/A 32030-2022 FSC-klagomål mail.docx", "A 32030-2022")</f>
        <v/>
      </c>
      <c r="X75">
        <f>HYPERLINK("https://klasma.github.io/Logging_0882/tillsyn/A 32030-2022 tillsynsbegäran.docx", "A 32030-2022")</f>
        <v/>
      </c>
      <c r="Y75">
        <f>HYPERLINK("https://klasma.github.io/Logging_0882/tillsynsmail/A 32030-2022 tillsynsbegäran mail.docx", "A 32030-2022")</f>
        <v/>
      </c>
    </row>
    <row r="76" ht="15" customHeight="1">
      <c r="A76" t="inlineStr">
        <is>
          <t>A 33241-2022</t>
        </is>
      </c>
      <c r="B76" s="1" t="n">
        <v>44786</v>
      </c>
      <c r="C76" s="1" t="n">
        <v>45728</v>
      </c>
      <c r="D76" t="inlineStr">
        <is>
          <t>KALMAR LÄN</t>
        </is>
      </c>
      <c r="E76" t="inlineStr">
        <is>
          <t>OSKARSHAMN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HYPERLINK("https://klasma.github.io/Logging_0882/artfynd/A 33241-2022 artfynd.xlsx", "A 33241-2022")</f>
        <v/>
      </c>
      <c r="T76">
        <f>HYPERLINK("https://klasma.github.io/Logging_0882/kartor/A 33241-2022 karta.png", "A 33241-2022")</f>
        <v/>
      </c>
      <c r="V76">
        <f>HYPERLINK("https://klasma.github.io/Logging_0882/klagomål/A 33241-2022 FSC-klagomål.docx", "A 33241-2022")</f>
        <v/>
      </c>
      <c r="W76">
        <f>HYPERLINK("https://klasma.github.io/Logging_0882/klagomålsmail/A 33241-2022 FSC-klagomål mail.docx", "A 33241-2022")</f>
        <v/>
      </c>
      <c r="X76">
        <f>HYPERLINK("https://klasma.github.io/Logging_0882/tillsyn/A 33241-2022 tillsynsbegäran.docx", "A 33241-2022")</f>
        <v/>
      </c>
      <c r="Y76">
        <f>HYPERLINK("https://klasma.github.io/Logging_0882/tillsynsmail/A 33241-2022 tillsynsbegäran mail.docx", "A 33241-2022")</f>
        <v/>
      </c>
    </row>
    <row r="77" ht="15" customHeight="1">
      <c r="A77" t="inlineStr">
        <is>
          <t>A 40258-2022</t>
        </is>
      </c>
      <c r="B77" s="1" t="n">
        <v>44820</v>
      </c>
      <c r="C77" s="1" t="n">
        <v>45728</v>
      </c>
      <c r="D77" t="inlineStr">
        <is>
          <t>KALMAR LÄN</t>
        </is>
      </c>
      <c r="E77" t="inlineStr">
        <is>
          <t>OSKARSHAMN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Orange taggsvamp</t>
        </is>
      </c>
      <c r="S77">
        <f>HYPERLINK("https://klasma.github.io/Logging_0882/artfynd/A 40258-2022 artfynd.xlsx", "A 40258-2022")</f>
        <v/>
      </c>
      <c r="T77">
        <f>HYPERLINK("https://klasma.github.io/Logging_0882/kartor/A 40258-2022 karta.png", "A 40258-2022")</f>
        <v/>
      </c>
      <c r="V77">
        <f>HYPERLINK("https://klasma.github.io/Logging_0882/klagomål/A 40258-2022 FSC-klagomål.docx", "A 40258-2022")</f>
        <v/>
      </c>
      <c r="W77">
        <f>HYPERLINK("https://klasma.github.io/Logging_0882/klagomålsmail/A 40258-2022 FSC-klagomål mail.docx", "A 40258-2022")</f>
        <v/>
      </c>
      <c r="X77">
        <f>HYPERLINK("https://klasma.github.io/Logging_0882/tillsyn/A 40258-2022 tillsynsbegäran.docx", "A 40258-2022")</f>
        <v/>
      </c>
      <c r="Y77">
        <f>HYPERLINK("https://klasma.github.io/Logging_0882/tillsynsmail/A 40258-2022 tillsynsbegäran mail.docx", "A 40258-2022")</f>
        <v/>
      </c>
    </row>
    <row r="78" ht="15" customHeight="1">
      <c r="A78" t="inlineStr">
        <is>
          <t>A 48442-2022</t>
        </is>
      </c>
      <c r="B78" s="1" t="n">
        <v>44858</v>
      </c>
      <c r="C78" s="1" t="n">
        <v>45728</v>
      </c>
      <c r="D78" t="inlineStr">
        <is>
          <t>KALMAR LÄN</t>
        </is>
      </c>
      <c r="E78" t="inlineStr">
        <is>
          <t>OSKARSHAMN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HYPERLINK("https://klasma.github.io/Logging_0882/artfynd/A 48442-2022 artfynd.xlsx", "A 48442-2022")</f>
        <v/>
      </c>
      <c r="T78">
        <f>HYPERLINK("https://klasma.github.io/Logging_0882/kartor/A 48442-2022 karta.png", "A 48442-2022")</f>
        <v/>
      </c>
      <c r="V78">
        <f>HYPERLINK("https://klasma.github.io/Logging_0882/klagomål/A 48442-2022 FSC-klagomål.docx", "A 48442-2022")</f>
        <v/>
      </c>
      <c r="W78">
        <f>HYPERLINK("https://klasma.github.io/Logging_0882/klagomålsmail/A 48442-2022 FSC-klagomål mail.docx", "A 48442-2022")</f>
        <v/>
      </c>
      <c r="X78">
        <f>HYPERLINK("https://klasma.github.io/Logging_0882/tillsyn/A 48442-2022 tillsynsbegäran.docx", "A 48442-2022")</f>
        <v/>
      </c>
      <c r="Y78">
        <f>HYPERLINK("https://klasma.github.io/Logging_0882/tillsynsmail/A 48442-2022 tillsynsbegäran mail.docx", "A 48442-2022")</f>
        <v/>
      </c>
    </row>
    <row r="79" ht="15" customHeight="1">
      <c r="A79" t="inlineStr">
        <is>
          <t>A 8722-2023</t>
        </is>
      </c>
      <c r="B79" s="1" t="n">
        <v>44978</v>
      </c>
      <c r="C79" s="1" t="n">
        <v>45728</v>
      </c>
      <c r="D79" t="inlineStr">
        <is>
          <t>KALMAR LÄN</t>
        </is>
      </c>
      <c r="E79" t="inlineStr">
        <is>
          <t>OSKARSHAMN</t>
        </is>
      </c>
      <c r="G79" t="n">
        <v>1.3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8722-2023 artfynd.xlsx", "A 8722-2023")</f>
        <v/>
      </c>
      <c r="T79">
        <f>HYPERLINK("https://klasma.github.io/Logging_0882/kartor/A 8722-2023 karta.png", "A 8722-2023")</f>
        <v/>
      </c>
      <c r="V79">
        <f>HYPERLINK("https://klasma.github.io/Logging_0882/klagomål/A 8722-2023 FSC-klagomål.docx", "A 8722-2023")</f>
        <v/>
      </c>
      <c r="W79">
        <f>HYPERLINK("https://klasma.github.io/Logging_0882/klagomålsmail/A 8722-2023 FSC-klagomål mail.docx", "A 8722-2023")</f>
        <v/>
      </c>
      <c r="X79">
        <f>HYPERLINK("https://klasma.github.io/Logging_0882/tillsyn/A 8722-2023 tillsynsbegäran.docx", "A 8722-2023")</f>
        <v/>
      </c>
      <c r="Y79">
        <f>HYPERLINK("https://klasma.github.io/Logging_0882/tillsynsmail/A 8722-2023 tillsynsbegäran mail.docx", "A 8722-2023")</f>
        <v/>
      </c>
    </row>
    <row r="80" ht="15" customHeight="1">
      <c r="A80" t="inlineStr">
        <is>
          <t>A 27854-2023</t>
        </is>
      </c>
      <c r="B80" s="1" t="n">
        <v>45098</v>
      </c>
      <c r="C80" s="1" t="n">
        <v>45728</v>
      </c>
      <c r="D80" t="inlineStr">
        <is>
          <t>KALMAR LÄN</t>
        </is>
      </c>
      <c r="E80" t="inlineStr">
        <is>
          <t>OSKARSHAMN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27854-2023 artfynd.xlsx", "A 27854-2023")</f>
        <v/>
      </c>
      <c r="T80">
        <f>HYPERLINK("https://klasma.github.io/Logging_0882/kartor/A 27854-2023 karta.png", "A 27854-2023")</f>
        <v/>
      </c>
      <c r="V80">
        <f>HYPERLINK("https://klasma.github.io/Logging_0882/klagomål/A 27854-2023 FSC-klagomål.docx", "A 27854-2023")</f>
        <v/>
      </c>
      <c r="W80">
        <f>HYPERLINK("https://klasma.github.io/Logging_0882/klagomålsmail/A 27854-2023 FSC-klagomål mail.docx", "A 27854-2023")</f>
        <v/>
      </c>
      <c r="X80">
        <f>HYPERLINK("https://klasma.github.io/Logging_0882/tillsyn/A 27854-2023 tillsynsbegäran.docx", "A 27854-2023")</f>
        <v/>
      </c>
      <c r="Y80">
        <f>HYPERLINK("https://klasma.github.io/Logging_0882/tillsynsmail/A 27854-2023 tillsynsbegäran mail.docx", "A 27854-2023")</f>
        <v/>
      </c>
    </row>
    <row r="81" ht="15" customHeight="1">
      <c r="A81" t="inlineStr">
        <is>
          <t>A 42443-2023</t>
        </is>
      </c>
      <c r="B81" s="1" t="n">
        <v>45175</v>
      </c>
      <c r="C81" s="1" t="n">
        <v>45728</v>
      </c>
      <c r="D81" t="inlineStr">
        <is>
          <t>KALMAR LÄN</t>
        </is>
      </c>
      <c r="E81" t="inlineStr">
        <is>
          <t>OSKARSHAMN</t>
        </is>
      </c>
      <c r="G81" t="n">
        <v>11.4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HYPERLINK("https://klasma.github.io/Logging_0882/artfynd/A 42443-2023 artfynd.xlsx", "A 42443-2023")</f>
        <v/>
      </c>
      <c r="T81">
        <f>HYPERLINK("https://klasma.github.io/Logging_0882/kartor/A 42443-2023 karta.png", "A 42443-2023")</f>
        <v/>
      </c>
      <c r="V81">
        <f>HYPERLINK("https://klasma.github.io/Logging_0882/klagomål/A 42443-2023 FSC-klagomål.docx", "A 42443-2023")</f>
        <v/>
      </c>
      <c r="W81">
        <f>HYPERLINK("https://klasma.github.io/Logging_0882/klagomålsmail/A 42443-2023 FSC-klagomål mail.docx", "A 42443-2023")</f>
        <v/>
      </c>
      <c r="X81">
        <f>HYPERLINK("https://klasma.github.io/Logging_0882/tillsyn/A 42443-2023 tillsynsbegäran.docx", "A 42443-2023")</f>
        <v/>
      </c>
      <c r="Y81">
        <f>HYPERLINK("https://klasma.github.io/Logging_0882/tillsynsmail/A 42443-2023 tillsynsbegäran mail.docx", "A 42443-2023")</f>
        <v/>
      </c>
    </row>
    <row r="82" ht="15" customHeight="1">
      <c r="A82" t="inlineStr">
        <is>
          <t>A 43009-2023</t>
        </is>
      </c>
      <c r="B82" s="1" t="n">
        <v>45182</v>
      </c>
      <c r="C82" s="1" t="n">
        <v>45728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HYPERLINK("https://klasma.github.io/Logging_0882/artfynd/A 43009-2023 artfynd.xlsx", "A 43009-2023")</f>
        <v/>
      </c>
      <c r="T82">
        <f>HYPERLINK("https://klasma.github.io/Logging_0882/kartor/A 43009-2023 karta.png", "A 43009-2023")</f>
        <v/>
      </c>
      <c r="V82">
        <f>HYPERLINK("https://klasma.github.io/Logging_0882/klagomål/A 43009-2023 FSC-klagomål.docx", "A 43009-2023")</f>
        <v/>
      </c>
      <c r="W82">
        <f>HYPERLINK("https://klasma.github.io/Logging_0882/klagomålsmail/A 43009-2023 FSC-klagomål mail.docx", "A 43009-2023")</f>
        <v/>
      </c>
      <c r="X82">
        <f>HYPERLINK("https://klasma.github.io/Logging_0882/tillsyn/A 43009-2023 tillsynsbegäran.docx", "A 43009-2023")</f>
        <v/>
      </c>
      <c r="Y82">
        <f>HYPERLINK("https://klasma.github.io/Logging_0882/tillsynsmail/A 43009-2023 tillsynsbegäran mail.docx", "A 43009-2023")</f>
        <v/>
      </c>
    </row>
    <row r="83" ht="15" customHeight="1">
      <c r="A83" t="inlineStr">
        <is>
          <t>A 45836-2023</t>
        </is>
      </c>
      <c r="B83" s="1" t="n">
        <v>45195</v>
      </c>
      <c r="C83" s="1" t="n">
        <v>45728</v>
      </c>
      <c r="D83" t="inlineStr">
        <is>
          <t>KALMAR LÄN</t>
        </is>
      </c>
      <c r="E83" t="inlineStr">
        <is>
          <t>OSKARSHAMN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45836-2023 artfynd.xlsx", "A 45836-2023")</f>
        <v/>
      </c>
      <c r="T83">
        <f>HYPERLINK("https://klasma.github.io/Logging_0882/kartor/A 45836-2023 karta.png", "A 45836-2023")</f>
        <v/>
      </c>
      <c r="V83">
        <f>HYPERLINK("https://klasma.github.io/Logging_0882/klagomål/A 45836-2023 FSC-klagomål.docx", "A 45836-2023")</f>
        <v/>
      </c>
      <c r="W83">
        <f>HYPERLINK("https://klasma.github.io/Logging_0882/klagomålsmail/A 45836-2023 FSC-klagomål mail.docx", "A 45836-2023")</f>
        <v/>
      </c>
      <c r="X83">
        <f>HYPERLINK("https://klasma.github.io/Logging_0882/tillsyn/A 45836-2023 tillsynsbegäran.docx", "A 45836-2023")</f>
        <v/>
      </c>
      <c r="Y83">
        <f>HYPERLINK("https://klasma.github.io/Logging_0882/tillsynsmail/A 45836-2023 tillsynsbegäran mail.docx", "A 45836-2023")</f>
        <v/>
      </c>
    </row>
    <row r="84" ht="15" customHeight="1">
      <c r="A84" t="inlineStr">
        <is>
          <t>A 52211-2023</t>
        </is>
      </c>
      <c r="B84" s="1" t="n">
        <v>45224</v>
      </c>
      <c r="C84" s="1" t="n">
        <v>45728</v>
      </c>
      <c r="D84" t="inlineStr">
        <is>
          <t>KALMAR LÄN</t>
        </is>
      </c>
      <c r="E84" t="inlineStr">
        <is>
          <t>OSKARSHAMN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HYPERLINK("https://klasma.github.io/Logging_0882/artfynd/A 52211-2023 artfynd.xlsx", "A 52211-2023")</f>
        <v/>
      </c>
      <c r="T84">
        <f>HYPERLINK("https://klasma.github.io/Logging_0882/kartor/A 52211-2023 karta.png", "A 52211-2023")</f>
        <v/>
      </c>
      <c r="V84">
        <f>HYPERLINK("https://klasma.github.io/Logging_0882/klagomål/A 52211-2023 FSC-klagomål.docx", "A 52211-2023")</f>
        <v/>
      </c>
      <c r="W84">
        <f>HYPERLINK("https://klasma.github.io/Logging_0882/klagomålsmail/A 52211-2023 FSC-klagomål mail.docx", "A 52211-2023")</f>
        <v/>
      </c>
      <c r="X84">
        <f>HYPERLINK("https://klasma.github.io/Logging_0882/tillsyn/A 52211-2023 tillsynsbegäran.docx", "A 52211-2023")</f>
        <v/>
      </c>
      <c r="Y84">
        <f>HYPERLINK("https://klasma.github.io/Logging_0882/tillsynsmail/A 52211-2023 tillsynsbegäran mail.docx", "A 52211-2023")</f>
        <v/>
      </c>
    </row>
    <row r="85" ht="15" customHeight="1">
      <c r="A85" t="inlineStr">
        <is>
          <t>A 54179-2023</t>
        </is>
      </c>
      <c r="B85" s="1" t="n">
        <v>45225</v>
      </c>
      <c r="C85" s="1" t="n">
        <v>45728</v>
      </c>
      <c r="D85" t="inlineStr">
        <is>
          <t>KALMAR LÄN</t>
        </is>
      </c>
      <c r="E85" t="inlineStr">
        <is>
          <t>OSKARSHAMN</t>
        </is>
      </c>
      <c r="G85" t="n">
        <v>7.3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Klubbsprötad bastardsvärmare</t>
        </is>
      </c>
      <c r="S85">
        <f>HYPERLINK("https://klasma.github.io/Logging_0882/artfynd/A 54179-2023 artfynd.xlsx", "A 54179-2023")</f>
        <v/>
      </c>
      <c r="T85">
        <f>HYPERLINK("https://klasma.github.io/Logging_0882/kartor/A 54179-2023 karta.png", "A 54179-2023")</f>
        <v/>
      </c>
      <c r="V85">
        <f>HYPERLINK("https://klasma.github.io/Logging_0882/klagomål/A 54179-2023 FSC-klagomål.docx", "A 54179-2023")</f>
        <v/>
      </c>
      <c r="W85">
        <f>HYPERLINK("https://klasma.github.io/Logging_0882/klagomålsmail/A 54179-2023 FSC-klagomål mail.docx", "A 54179-2023")</f>
        <v/>
      </c>
      <c r="X85">
        <f>HYPERLINK("https://klasma.github.io/Logging_0882/tillsyn/A 54179-2023 tillsynsbegäran.docx", "A 54179-2023")</f>
        <v/>
      </c>
      <c r="Y85">
        <f>HYPERLINK("https://klasma.github.io/Logging_0882/tillsynsmail/A 54179-2023 tillsynsbegäran mail.docx", "A 54179-2023")</f>
        <v/>
      </c>
    </row>
    <row r="86" ht="15" customHeight="1">
      <c r="A86" t="inlineStr">
        <is>
          <t>A 19705-2024</t>
        </is>
      </c>
      <c r="B86" s="1" t="n">
        <v>45432</v>
      </c>
      <c r="C86" s="1" t="n">
        <v>45728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Solvända</t>
        </is>
      </c>
      <c r="S86">
        <f>HYPERLINK("https://klasma.github.io/Logging_0882/artfynd/A 19705-2024 artfynd.xlsx", "A 19705-2024")</f>
        <v/>
      </c>
      <c r="T86">
        <f>HYPERLINK("https://klasma.github.io/Logging_0882/kartor/A 19705-2024 karta.png", "A 19705-2024")</f>
        <v/>
      </c>
      <c r="V86">
        <f>HYPERLINK("https://klasma.github.io/Logging_0882/klagomål/A 19705-2024 FSC-klagomål.docx", "A 19705-2024")</f>
        <v/>
      </c>
      <c r="W86">
        <f>HYPERLINK("https://klasma.github.io/Logging_0882/klagomålsmail/A 19705-2024 FSC-klagomål mail.docx", "A 19705-2024")</f>
        <v/>
      </c>
      <c r="X86">
        <f>HYPERLINK("https://klasma.github.io/Logging_0882/tillsyn/A 19705-2024 tillsynsbegäran.docx", "A 19705-2024")</f>
        <v/>
      </c>
      <c r="Y86">
        <f>HYPERLINK("https://klasma.github.io/Logging_0882/tillsynsmail/A 19705-2024 tillsynsbegäran mail.docx", "A 19705-2024")</f>
        <v/>
      </c>
    </row>
    <row r="87" ht="15" customHeight="1">
      <c r="A87" t="inlineStr">
        <is>
          <t>A 34836-2024</t>
        </is>
      </c>
      <c r="B87" s="1" t="n">
        <v>45526</v>
      </c>
      <c r="C87" s="1" t="n">
        <v>45728</v>
      </c>
      <c r="D87" t="inlineStr">
        <is>
          <t>KALMAR LÄN</t>
        </is>
      </c>
      <c r="E87" t="inlineStr">
        <is>
          <t>OSKARSHAMN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HYPERLINK("https://klasma.github.io/Logging_0882/artfynd/A 34836-2024 artfynd.xlsx", "A 34836-2024")</f>
        <v/>
      </c>
      <c r="T87">
        <f>HYPERLINK("https://klasma.github.io/Logging_0882/kartor/A 34836-2024 karta.png", "A 34836-2024")</f>
        <v/>
      </c>
      <c r="V87">
        <f>HYPERLINK("https://klasma.github.io/Logging_0882/klagomål/A 34836-2024 FSC-klagomål.docx", "A 34836-2024")</f>
        <v/>
      </c>
      <c r="W87">
        <f>HYPERLINK("https://klasma.github.io/Logging_0882/klagomålsmail/A 34836-2024 FSC-klagomål mail.docx", "A 34836-2024")</f>
        <v/>
      </c>
      <c r="X87">
        <f>HYPERLINK("https://klasma.github.io/Logging_0882/tillsyn/A 34836-2024 tillsynsbegäran.docx", "A 34836-2024")</f>
        <v/>
      </c>
      <c r="Y87">
        <f>HYPERLINK("https://klasma.github.io/Logging_0882/tillsynsmail/A 34836-2024 tillsynsbegäran mail.docx", "A 34836-2024")</f>
        <v/>
      </c>
    </row>
    <row r="88" ht="15" customHeight="1">
      <c r="A88" t="inlineStr">
        <is>
          <t>A 35155-2024</t>
        </is>
      </c>
      <c r="B88" s="1" t="n">
        <v>45530</v>
      </c>
      <c r="C88" s="1" t="n">
        <v>45728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HYPERLINK("https://klasma.github.io/Logging_0882/artfynd/A 35155-2024 artfynd.xlsx", "A 35155-2024")</f>
        <v/>
      </c>
      <c r="T88">
        <f>HYPERLINK("https://klasma.github.io/Logging_0882/kartor/A 35155-2024 karta.png", "A 35155-2024")</f>
        <v/>
      </c>
      <c r="V88">
        <f>HYPERLINK("https://klasma.github.io/Logging_0882/klagomål/A 35155-2024 FSC-klagomål.docx", "A 35155-2024")</f>
        <v/>
      </c>
      <c r="W88">
        <f>HYPERLINK("https://klasma.github.io/Logging_0882/klagomålsmail/A 35155-2024 FSC-klagomål mail.docx", "A 35155-2024")</f>
        <v/>
      </c>
      <c r="X88">
        <f>HYPERLINK("https://klasma.github.io/Logging_0882/tillsyn/A 35155-2024 tillsynsbegäran.docx", "A 35155-2024")</f>
        <v/>
      </c>
      <c r="Y88">
        <f>HYPERLINK("https://klasma.github.io/Logging_0882/tillsynsmail/A 35155-2024 tillsynsbegäran mail.docx", "A 35155-2024")</f>
        <v/>
      </c>
    </row>
    <row r="89" ht="15" customHeight="1">
      <c r="A89" t="inlineStr">
        <is>
          <t>A 46276-2024</t>
        </is>
      </c>
      <c r="B89" s="1" t="n">
        <v>45581</v>
      </c>
      <c r="C89" s="1" t="n">
        <v>45728</v>
      </c>
      <c r="D89" t="inlineStr">
        <is>
          <t>KALMAR LÄN</t>
        </is>
      </c>
      <c r="E89" t="inlineStr">
        <is>
          <t>OSKARSHAMN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46276-2024 artfynd.xlsx", "A 46276-2024")</f>
        <v/>
      </c>
      <c r="T89">
        <f>HYPERLINK("https://klasma.github.io/Logging_0882/kartor/A 46276-2024 karta.png", "A 46276-2024")</f>
        <v/>
      </c>
      <c r="V89">
        <f>HYPERLINK("https://klasma.github.io/Logging_0882/klagomål/A 46276-2024 FSC-klagomål.docx", "A 46276-2024")</f>
        <v/>
      </c>
      <c r="W89">
        <f>HYPERLINK("https://klasma.github.io/Logging_0882/klagomålsmail/A 46276-2024 FSC-klagomål mail.docx", "A 46276-2024")</f>
        <v/>
      </c>
      <c r="X89">
        <f>HYPERLINK("https://klasma.github.io/Logging_0882/tillsyn/A 46276-2024 tillsynsbegäran.docx", "A 46276-2024")</f>
        <v/>
      </c>
      <c r="Y89">
        <f>HYPERLINK("https://klasma.github.io/Logging_0882/tillsynsmail/A 46276-2024 tillsynsbegäran mail.docx", "A 46276-2024")</f>
        <v/>
      </c>
    </row>
    <row r="90" ht="15" customHeight="1">
      <c r="A90" t="inlineStr">
        <is>
          <t>A 17837-2019</t>
        </is>
      </c>
      <c r="B90" s="1" t="n">
        <v>43556</v>
      </c>
      <c r="C90" s="1" t="n">
        <v>45728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17945-2019</t>
        </is>
      </c>
      <c r="B91" s="1" t="n">
        <v>43557</v>
      </c>
      <c r="C91" s="1" t="n">
        <v>45728</v>
      </c>
      <c r="D91" t="inlineStr">
        <is>
          <t>KALMAR LÄN</t>
        </is>
      </c>
      <c r="E91" t="inlineStr">
        <is>
          <t>OSKARSHAMN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17908-2019</t>
        </is>
      </c>
      <c r="B92" s="1" t="n">
        <v>43557</v>
      </c>
      <c r="C92" s="1" t="n">
        <v>45728</v>
      </c>
      <c r="D92" t="inlineStr">
        <is>
          <t>KALMAR LÄN</t>
        </is>
      </c>
      <c r="E92" t="inlineStr">
        <is>
          <t>OSKARSHAMN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18241-2019</t>
        </is>
      </c>
      <c r="B93" s="1" t="n">
        <v>43558</v>
      </c>
      <c r="C93" s="1" t="n">
        <v>45728</v>
      </c>
      <c r="D93" t="inlineStr">
        <is>
          <t>KALMAR LÄN</t>
        </is>
      </c>
      <c r="E93" t="inlineStr">
        <is>
          <t>OSKARSHAMN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19618-2019</t>
        </is>
      </c>
      <c r="B94" s="1" t="n">
        <v>43566</v>
      </c>
      <c r="C94" s="1" t="n">
        <v>45728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20225-2019</t>
        </is>
      </c>
      <c r="B95" s="1" t="n">
        <v>43567</v>
      </c>
      <c r="C95" s="1" t="n">
        <v>45728</v>
      </c>
      <c r="D95" t="inlineStr">
        <is>
          <t>KALMAR LÄN</t>
        </is>
      </c>
      <c r="E95" t="inlineStr">
        <is>
          <t>OSKARSHAMN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21323-2019</t>
        </is>
      </c>
      <c r="B96" s="1" t="n">
        <v>43579</v>
      </c>
      <c r="C96" s="1" t="n">
        <v>45728</v>
      </c>
      <c r="D96" t="inlineStr">
        <is>
          <t>KALMAR LÄN</t>
        </is>
      </c>
      <c r="E96" t="inlineStr">
        <is>
          <t>OSKARSHAMN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22405-2019</t>
        </is>
      </c>
      <c r="B97" s="1" t="n">
        <v>43587</v>
      </c>
      <c r="C97" s="1" t="n">
        <v>45728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23831-2019</t>
        </is>
      </c>
      <c r="B98" s="1" t="n">
        <v>43595</v>
      </c>
      <c r="C98" s="1" t="n">
        <v>45728</v>
      </c>
      <c r="D98" t="inlineStr">
        <is>
          <t>KALMAR LÄN</t>
        </is>
      </c>
      <c r="E98" t="inlineStr">
        <is>
          <t>OSKARSHAMN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23773-2019</t>
        </is>
      </c>
      <c r="B99" s="1" t="n">
        <v>43595</v>
      </c>
      <c r="C99" s="1" t="n">
        <v>45728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23819-2019</t>
        </is>
      </c>
      <c r="B100" s="1" t="n">
        <v>43595</v>
      </c>
      <c r="C100" s="1" t="n">
        <v>45728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23768-2019</t>
        </is>
      </c>
      <c r="B101" s="1" t="n">
        <v>43595</v>
      </c>
      <c r="C101" s="1" t="n">
        <v>45728</v>
      </c>
      <c r="D101" t="inlineStr">
        <is>
          <t>KALMAR LÄN</t>
        </is>
      </c>
      <c r="E101" t="inlineStr">
        <is>
          <t>OSKARSHAMN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26380-2019</t>
        </is>
      </c>
      <c r="B102" s="1" t="n">
        <v>43606</v>
      </c>
      <c r="C102" s="1" t="n">
        <v>45728</v>
      </c>
      <c r="D102" t="inlineStr">
        <is>
          <t>KALMAR LÄN</t>
        </is>
      </c>
      <c r="E102" t="inlineStr">
        <is>
          <t>OSKARSHAMN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25585-2019</t>
        </is>
      </c>
      <c r="B103" s="1" t="n">
        <v>43607</v>
      </c>
      <c r="C103" s="1" t="n">
        <v>45728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25869-2019</t>
        </is>
      </c>
      <c r="B104" s="1" t="n">
        <v>43608</v>
      </c>
      <c r="C104" s="1" t="n">
        <v>45728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25870-2019</t>
        </is>
      </c>
      <c r="B105" s="1" t="n">
        <v>43608</v>
      </c>
      <c r="C105" s="1" t="n">
        <v>45728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25871-2019</t>
        </is>
      </c>
      <c r="B106" s="1" t="n">
        <v>43608</v>
      </c>
      <c r="C106" s="1" t="n">
        <v>45728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28038-2019</t>
        </is>
      </c>
      <c r="B107" s="1" t="n">
        <v>43613</v>
      </c>
      <c r="C107" s="1" t="n">
        <v>45728</v>
      </c>
      <c r="D107" t="inlineStr">
        <is>
          <t>KALMAR LÄN</t>
        </is>
      </c>
      <c r="E107" t="inlineStr">
        <is>
          <t>OSKARSHAMN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27581-2019</t>
        </is>
      </c>
      <c r="B108" s="1" t="n">
        <v>43619</v>
      </c>
      <c r="C108" s="1" t="n">
        <v>45728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27534-2019</t>
        </is>
      </c>
      <c r="B109" s="1" t="n">
        <v>43619</v>
      </c>
      <c r="C109" s="1" t="n">
        <v>45728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27584-2019</t>
        </is>
      </c>
      <c r="B110" s="1" t="n">
        <v>43619</v>
      </c>
      <c r="C110" s="1" t="n">
        <v>45728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29605-2019</t>
        </is>
      </c>
      <c r="B111" s="1" t="n">
        <v>43630</v>
      </c>
      <c r="C111" s="1" t="n">
        <v>45728</v>
      </c>
      <c r="D111" t="inlineStr">
        <is>
          <t>KALMAR LÄN</t>
        </is>
      </c>
      <c r="E111" t="inlineStr">
        <is>
          <t>OSKARSHAMN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45728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45728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45728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45728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45728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45728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45728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45728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45728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45728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45728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45728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45728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45728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45728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45728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45728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45728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45728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45728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45728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45728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45728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45728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45728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45728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45728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45728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45728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45728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45728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45728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45728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45728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45728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45728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45728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45728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45728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45728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45728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45728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45728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45728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45728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45728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45728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45728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45728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45728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45728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45728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45728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45728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45728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45728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45728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45728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45728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45728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45728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45728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45728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45728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45728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45728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45728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45728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45728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45728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45728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45728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45728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45728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45728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45728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45728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45728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45728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45728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45728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45728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45728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45728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45728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45728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45728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45728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45728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45728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45728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45728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45728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45728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45728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45728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45728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45728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45728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45728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45728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45728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45728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45728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45728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45728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45728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45728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45728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45728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45728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45728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45728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45728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45728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45728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45728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45728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45728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45728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45728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45728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45728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45728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45728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45728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45728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45728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45728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45728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45728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45728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45728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45728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45728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45728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45728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45728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45728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45728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45728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45728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45728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45728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45728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45728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45728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45728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45728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45728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45728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45728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45728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45728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45728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45728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45728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45728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45728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45728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45728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45728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45728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45728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45728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45728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45728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45728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45728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45728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45728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45728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45728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45728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45728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45728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45728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45728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45728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45728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45728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45728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45728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45728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45728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45728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45728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45728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45728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45728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45728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45728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45728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45728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45728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45728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45728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45728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45728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45728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45728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45728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45728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45728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45728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45728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45728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45728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45728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45728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45728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45728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45728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45728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45728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45728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45728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45728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45728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45728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45728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45728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45728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45728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45728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45728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45728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45728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45728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45728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45728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45728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45728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45728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45728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45728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45728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45728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45728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45728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45728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45728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45728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45728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45728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45728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45728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45728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45728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45728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45728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45728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45728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45728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45728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45728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45728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45728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45728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45728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45728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45728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45728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45728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45728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45728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45728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45728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45728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45728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45728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45728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45728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45728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45728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45728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45728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45728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45728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45728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45728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45728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45728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45728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45728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45728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45728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45728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45728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45728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45728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45728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45728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45728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45728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45728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45728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45728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45728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45728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45728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45728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45728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45728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45728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45728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45728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45728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45728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45728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45728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45728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45728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45728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45728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45728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45728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45728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45728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45728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45728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45728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45728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45728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45728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45728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45728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45728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45728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45728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45728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45728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45728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45728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45728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45728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45728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45728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45728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45728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45728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45728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45728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45728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45728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45728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45728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45728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45728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45728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45728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45728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45728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45728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45728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45728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45728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45728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45728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45728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45728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45728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45728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45728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45728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45728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45728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45728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45728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45728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45728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45728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45728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45728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45728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45728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45728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45728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45728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45728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45728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45728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45728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45728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45728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45728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45728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45728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45728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45728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45728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45728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45728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45728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45728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45728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45728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45728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45728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45728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45728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45728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45728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45728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45728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45728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45728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45728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45728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45728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45728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45728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45728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45728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45728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45728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45728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45728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45728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45728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45728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45728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45728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45728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45728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45728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45728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45728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45728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45728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45728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45728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45728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45728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45728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45728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45728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45728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45728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45728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45728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45728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45728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45728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45728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45728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45728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45728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45728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45728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45728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45728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45728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45728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45728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45728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45728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45728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45728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45728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45728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45728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45728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45728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45728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45728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45728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45728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45728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45728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45728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45728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45728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45728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45728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45728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45728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45728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45728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45728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45728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45728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45728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45728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45728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45728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45728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45728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45728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45728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45728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45728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45728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45728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45728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45728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45728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45728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45728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45728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45728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45728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45728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45728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45728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45728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45728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45728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45728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45728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45728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45728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45728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45728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45728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45728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45728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45728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45728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45728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45728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45728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45728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45728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45728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45728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45728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45728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45728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45728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45728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45728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45728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45728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45728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45728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45728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45728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45728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45728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45728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45728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45728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45728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45728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45728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45728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45728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45728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45728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45728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45728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45728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45728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45728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45728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45728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45728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45728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45728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45728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45728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45728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45728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45728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45728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45728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45728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45728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45728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45728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45728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45728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45728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45728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45728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45728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45728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45728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45728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45728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45728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45728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45728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45728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45728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45728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45728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45728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45728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45728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45728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45728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45728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45728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45728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45728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45728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45728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45728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45728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45728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45728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45728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45728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45728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45728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45728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45728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45728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45728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45728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45728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45728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45728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45728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45728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45728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45728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45728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45728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45728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45728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45728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45728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45728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45728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45728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45728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45728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45728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45728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45728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45728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45728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45728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45728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45728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45728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45728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45728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45728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45728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45728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45728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45728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45728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45728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45728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45728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45728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45728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45728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45728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45728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45728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45728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45728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45728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45728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45728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45728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45728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45728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45728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45728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45728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45728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45728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45728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45728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45728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45728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45728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45728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45728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45728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45728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45728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45728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45728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45728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45728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45728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45728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45728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45728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45728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45728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45728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45728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45728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45728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45728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45728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45728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45728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45728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45728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45728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45728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45728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45728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45728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45728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45728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45728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45728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45728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45728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45728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45728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45728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45728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45728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45728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45728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45728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45728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45728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45728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45728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45728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45728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45728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45728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45728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45728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45728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45728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45728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45728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45728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45728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45728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45728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45728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45728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45728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45728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45728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45728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45728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45728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45728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45728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45728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45728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45728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45728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45728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45728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45728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45728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45728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45728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45728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45728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45728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45728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45728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45728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45728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45728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45728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45728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45728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45728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45728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45728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45728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45728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45728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45728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45728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45728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45728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45728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45728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45728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45728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45728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45728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45728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45728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45728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45728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45728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45728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45728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45728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45728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45728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45728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45728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45728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45728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45728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45728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45728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45728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45728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45728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45728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45728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45728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45728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45728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45728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45728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45728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45728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45728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45728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45728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45728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45728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45728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45728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45728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45728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45728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45728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45728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45728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45728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45728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45728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45728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45728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45728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45728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45728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45728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45728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45728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45728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45728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45728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45728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45728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45728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45728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45728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45728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45728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45728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45728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45728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45728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45728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45728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45728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45728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45728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45728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45728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45728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45728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45728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45728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45728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45728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45728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45728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45728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45728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45728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45728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45728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45728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45728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45728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45728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45728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45728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45728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45728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45728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45728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45728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45728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45728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45728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45728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45728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45728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45728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45728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45728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45728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45728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45728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45728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45728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45728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45728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45728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45728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45728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45728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45728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45728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45728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45728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45728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45728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45728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45728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45728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45728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45728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45728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45728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45728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45728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45728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45728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45728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45728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45728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45728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45728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45728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45728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45728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45728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45728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45728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45728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45728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45728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45728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45728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45728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45728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45728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45728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45728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45728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45728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45728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45728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45728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45728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45728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45728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45728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45728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45728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45728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45728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45728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45728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45728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45728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45728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45728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45728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45728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45728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45728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45728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45728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45728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45728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45728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45728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45728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45728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45728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45728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45728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45728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45728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45728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45728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45728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45728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45728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45728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45728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45728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45728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45728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45728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45728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45728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45728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45728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45728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45728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45728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45728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45728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45728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45728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45728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45728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45728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45728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45728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45728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45728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45728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45728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45728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45728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45728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45728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45728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45728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45728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45728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45728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45728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45728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45728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45728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45728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45728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45728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45728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45728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45728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45728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45728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45728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45728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45728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45728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45728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45728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45728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45728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45728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45728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45728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45728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45728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45728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45728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45728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45728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45728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45728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45728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45728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45728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45728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45728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45728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45728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45728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45728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45728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45728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45728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45728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45728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45728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45728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45728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45728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45728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45728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45728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45728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45728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45728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45728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45728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45728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45728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45728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45728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45728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45728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45728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45728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45728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45728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45728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45728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45728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45728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45728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45728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45728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45728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45728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45728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45728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45728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45728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45728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45728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45728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45728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45728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45728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45728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45728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45728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45728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45728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45728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45728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45728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45728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45728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45728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45728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45728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45728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45728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45728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45728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45728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45728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45728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45728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45728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45728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45728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45728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45728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45728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45728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45728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45728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45728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45728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45728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45728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45728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45728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45728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45728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45728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45728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45728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45728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45728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45728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45728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45728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45728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45728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45728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45728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45728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45728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45728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45728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45728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45728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45728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45728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45728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45728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45728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45728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45728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45728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45728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45728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45728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45728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45728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45728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45728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45728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45728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45728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45728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45728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45728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45728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45728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45728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45728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45728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45728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45728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45728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45728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45728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45728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45728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6103-2025</t>
        </is>
      </c>
      <c r="B1302" s="1" t="n">
        <v>45697</v>
      </c>
      <c r="C1302" s="1" t="n">
        <v>45728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45728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6783-2025</t>
        </is>
      </c>
      <c r="B1304" s="1" t="n">
        <v>45700</v>
      </c>
      <c r="C1304" s="1" t="n">
        <v>45728</v>
      </c>
      <c r="D1304" t="inlineStr">
        <is>
          <t>KALMAR LÄN</t>
        </is>
      </c>
      <c r="E1304" t="inlineStr">
        <is>
          <t>OSKARSHAMN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45728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6818-2025</t>
        </is>
      </c>
      <c r="B1306" s="1" t="n">
        <v>45700</v>
      </c>
      <c r="C1306" s="1" t="n">
        <v>45728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45728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45728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8236-2025</t>
        </is>
      </c>
      <c r="B1309" s="1" t="n">
        <v>45708</v>
      </c>
      <c r="C1309" s="1" t="n">
        <v>45728</v>
      </c>
      <c r="D1309" t="inlineStr">
        <is>
          <t>KALMAR LÄN</t>
        </is>
      </c>
      <c r="E1309" t="inlineStr">
        <is>
          <t>OSKARSHAMN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8282-2025</t>
        </is>
      </c>
      <c r="B1310" s="1" t="n">
        <v>45708</v>
      </c>
      <c r="C1310" s="1" t="n">
        <v>45728</v>
      </c>
      <c r="D1310" t="inlineStr">
        <is>
          <t>KALMAR LÄN</t>
        </is>
      </c>
      <c r="E1310" t="inlineStr">
        <is>
          <t>OSKARSHAMN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8286-2025</t>
        </is>
      </c>
      <c r="B1311" s="1" t="n">
        <v>45708</v>
      </c>
      <c r="C1311" s="1" t="n">
        <v>45728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45728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45728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45728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45728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45728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45728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45728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45728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45728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45728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10880-2025</t>
        </is>
      </c>
      <c r="B1322" s="1" t="n">
        <v>45722</v>
      </c>
      <c r="C1322" s="1" t="n">
        <v>45728</v>
      </c>
      <c r="D1322" t="inlineStr">
        <is>
          <t>KALMAR LÄN</t>
        </is>
      </c>
      <c r="E1322" t="inlineStr">
        <is>
          <t>OSKARSHAMN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10801-2025</t>
        </is>
      </c>
      <c r="B1323" s="1" t="n">
        <v>45722</v>
      </c>
      <c r="C1323" s="1" t="n">
        <v>45728</v>
      </c>
      <c r="D1323" t="inlineStr">
        <is>
          <t>KALMAR LÄN</t>
        </is>
      </c>
      <c r="E1323" t="inlineStr">
        <is>
          <t>OSKARSHAMN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10802-2025</t>
        </is>
      </c>
      <c r="B1324" s="1" t="n">
        <v>45722</v>
      </c>
      <c r="C1324" s="1" t="n">
        <v>45728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45728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45728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45728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11507-2025</t>
        </is>
      </c>
      <c r="B1328" s="1" t="n">
        <v>45726</v>
      </c>
      <c r="C1328" s="1" t="n">
        <v>45728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2025-03-12T16:41:27Z</dcterms:created>
  <dcterms:modified xmlns:dcterms="http://purl.org/dc/terms/" xmlns:xsi="http://www.w3.org/2001/XMLSchema-instance" xsi:type="dcterms:W3CDTF">2025-03-12T16:41:28Z</dcterms:modified>
</cp:coreProperties>
</file>