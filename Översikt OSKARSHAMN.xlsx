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45812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45812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45812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45812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45812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45812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45812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60579-2020</t>
        </is>
      </c>
      <c r="B9" s="1" t="n">
        <v>44153</v>
      </c>
      <c r="C9" s="1" t="n">
        <v>45812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60579-2020 artfynd.xlsx", "A 60579-2020")</f>
        <v/>
      </c>
      <c r="T9">
        <f>HYPERLINK("https://klasma.github.io/Logging_0882/kartor/A 60579-2020 karta.png", "A 60579-2020")</f>
        <v/>
      </c>
      <c r="V9">
        <f>HYPERLINK("https://klasma.github.io/Logging_0882/klagomål/A 60579-2020 FSC-klagomål.docx", "A 60579-2020")</f>
        <v/>
      </c>
      <c r="W9">
        <f>HYPERLINK("https://klasma.github.io/Logging_0882/klagomålsmail/A 60579-2020 FSC-klagomål mail.docx", "A 60579-2020")</f>
        <v/>
      </c>
      <c r="X9">
        <f>HYPERLINK("https://klasma.github.io/Logging_0882/tillsyn/A 60579-2020 tillsynsbegäran.docx", "A 60579-2020")</f>
        <v/>
      </c>
      <c r="Y9">
        <f>HYPERLINK("https://klasma.github.io/Logging_0882/tillsynsmail/A 60579-2020 tillsynsbegäran mail.docx", "A 60579-2020")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45812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5104-2022</t>
        </is>
      </c>
      <c r="B11" s="1" t="n">
        <v>44593</v>
      </c>
      <c r="C11" s="1" t="n">
        <v>45812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10.9</v>
      </c>
      <c r="H11" t="n">
        <v>8</v>
      </c>
      <c r="I11" t="n">
        <v>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Tornseglare
Mindre hackspett
Rödvingetrast
Spillkråka
Björksplintborre
Dvärgpipistrell
Kungsfågel
Sparvuggla
Större brunfladdermus</t>
        </is>
      </c>
      <c r="S11">
        <f>HYPERLINK("https://klasma.github.io/Logging_0882/artfynd/A 5104-2022 artfynd.xlsx", "A 5104-2022")</f>
        <v/>
      </c>
      <c r="T11">
        <f>HYPERLINK("https://klasma.github.io/Logging_0882/kartor/A 5104-2022 karta.png", "A 5104-2022")</f>
        <v/>
      </c>
      <c r="V11">
        <f>HYPERLINK("https://klasma.github.io/Logging_0882/klagomål/A 5104-2022 FSC-klagomål.docx", "A 5104-2022")</f>
        <v/>
      </c>
      <c r="W11">
        <f>HYPERLINK("https://klasma.github.io/Logging_0882/klagomålsmail/A 5104-2022 FSC-klagomål mail.docx", "A 5104-2022")</f>
        <v/>
      </c>
      <c r="X11">
        <f>HYPERLINK("https://klasma.github.io/Logging_0882/tillsyn/A 5104-2022 tillsynsbegäran.docx", "A 5104-2022")</f>
        <v/>
      </c>
      <c r="Y11">
        <f>HYPERLINK("https://klasma.github.io/Logging_0882/tillsynsmail/A 5104-2022 tillsynsbegäran mail.docx", "A 5104-2022")</f>
        <v/>
      </c>
      <c r="Z11">
        <f>HYPERLINK("https://klasma.github.io/Logging_0882/fåglar/A 5104-2022 prioriterade fågelarter.docx", "A 5104-2022")</f>
        <v/>
      </c>
    </row>
    <row r="12" ht="15" customHeight="1">
      <c r="A12" t="inlineStr">
        <is>
          <t>A 24641-2024</t>
        </is>
      </c>
      <c r="B12" s="1" t="n">
        <v>45460</v>
      </c>
      <c r="C12" s="1" t="n">
        <v>45812</v>
      </c>
      <c r="D12" t="inlineStr">
        <is>
          <t>KALMAR LÄN</t>
        </is>
      </c>
      <c r="E12" t="inlineStr">
        <is>
          <t>OSKARSHAMN</t>
        </is>
      </c>
      <c r="G12" t="n">
        <v>5.6</v>
      </c>
      <c r="H12" t="n">
        <v>5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Gropticka
Havsörn
Spillkråka
Tallticka
Talltita
Blomkålssvamp
Blåmossa
Gröngöling
Blåsippa</t>
        </is>
      </c>
      <c r="S12">
        <f>HYPERLINK("https://klasma.github.io/Logging_0882/artfynd/A 24641-2024 artfynd.xlsx", "A 24641-2024")</f>
        <v/>
      </c>
      <c r="T12">
        <f>HYPERLINK("https://klasma.github.io/Logging_0882/kartor/A 24641-2024 karta.png", "A 24641-2024")</f>
        <v/>
      </c>
      <c r="V12">
        <f>HYPERLINK("https://klasma.github.io/Logging_0882/klagomål/A 24641-2024 FSC-klagomål.docx", "A 24641-2024")</f>
        <v/>
      </c>
      <c r="W12">
        <f>HYPERLINK("https://klasma.github.io/Logging_0882/klagomålsmail/A 24641-2024 FSC-klagomål mail.docx", "A 24641-2024")</f>
        <v/>
      </c>
      <c r="X12">
        <f>HYPERLINK("https://klasma.github.io/Logging_0882/tillsyn/A 24641-2024 tillsynsbegäran.docx", "A 24641-2024")</f>
        <v/>
      </c>
      <c r="Y12">
        <f>HYPERLINK("https://klasma.github.io/Logging_0882/tillsynsmail/A 24641-2024 tillsynsbegäran mail.docx", "A 24641-2024")</f>
        <v/>
      </c>
      <c r="Z12">
        <f>HYPERLINK("https://klasma.github.io/Logging_0882/fåglar/A 24641-2024 prioriterade fågelarter.docx", "A 24641-2024")</f>
        <v/>
      </c>
    </row>
    <row r="13" ht="15" customHeight="1">
      <c r="A13" t="inlineStr">
        <is>
          <t>A 25936-2024</t>
        </is>
      </c>
      <c r="B13" s="1" t="n">
        <v>45467</v>
      </c>
      <c r="C13" s="1" t="n">
        <v>45812</v>
      </c>
      <c r="D13" t="inlineStr">
        <is>
          <t>KALMAR LÄN</t>
        </is>
      </c>
      <c r="E13" t="inlineStr">
        <is>
          <t>OSKARSHAMN</t>
        </is>
      </c>
      <c r="G13" t="n">
        <v>6.5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Skrovlig taggsvamp
Spillkråka
Tallticka
Talltita
Vedskivlav
Blåmossa
Grönpyrola
Revlummer</t>
        </is>
      </c>
      <c r="S13">
        <f>HYPERLINK("https://klasma.github.io/Logging_0882/artfynd/A 25936-2024 artfynd.xlsx", "A 25936-2024")</f>
        <v/>
      </c>
      <c r="T13">
        <f>HYPERLINK("https://klasma.github.io/Logging_0882/kartor/A 25936-2024 karta.png", "A 25936-2024")</f>
        <v/>
      </c>
      <c r="U13">
        <f>HYPERLINK("https://klasma.github.io/Logging_0882/knärot/A 25936-2024 karta knärot.png", "A 25936-2024")</f>
        <v/>
      </c>
      <c r="V13">
        <f>HYPERLINK("https://klasma.github.io/Logging_0882/klagomål/A 25936-2024 FSC-klagomål.docx", "A 25936-2024")</f>
        <v/>
      </c>
      <c r="W13">
        <f>HYPERLINK("https://klasma.github.io/Logging_0882/klagomålsmail/A 25936-2024 FSC-klagomål mail.docx", "A 25936-2024")</f>
        <v/>
      </c>
      <c r="X13">
        <f>HYPERLINK("https://klasma.github.io/Logging_0882/tillsyn/A 25936-2024 tillsynsbegäran.docx", "A 25936-2024")</f>
        <v/>
      </c>
      <c r="Y13">
        <f>HYPERLINK("https://klasma.github.io/Logging_0882/tillsynsmail/A 25936-2024 tillsynsbegäran mail.docx", "A 25936-2024")</f>
        <v/>
      </c>
      <c r="Z13">
        <f>HYPERLINK("https://klasma.github.io/Logging_0882/fåglar/A 25936-2024 prioriterade fågelarter.docx", "A 25936-2024")</f>
        <v/>
      </c>
    </row>
    <row r="14" ht="15" customHeight="1">
      <c r="A14" t="inlineStr">
        <is>
          <t>A 10887-2025</t>
        </is>
      </c>
      <c r="B14" s="1" t="n">
        <v>45722</v>
      </c>
      <c r="C14" s="1" t="n">
        <v>45812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4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Bredgentiana
Backklöver
Gullklöver
Slåtterfibbla
Solvända
Spindelört
Brudsporre
Nattviol
Gullviva</t>
        </is>
      </c>
      <c r="S14">
        <f>HYPERLINK("https://klasma.github.io/Logging_080882/artfynd/A 10887-2025 artfynd.xlsx", "A 10887-2025")</f>
        <v/>
      </c>
      <c r="T14">
        <f>HYPERLINK("https://klasma.github.io/Logging_080882/kartor/A 10887-2025 karta.png", "A 10887-2025")</f>
        <v/>
      </c>
      <c r="V14">
        <f>HYPERLINK("https://klasma.github.io/Logging_080882/klagomål/A 10887-2025 FSC-klagomål.docx", "A 10887-2025")</f>
        <v/>
      </c>
      <c r="W14">
        <f>HYPERLINK("https://klasma.github.io/Logging_080882/klagomålsmail/A 10887-2025 FSC-klagomål mail.docx", "A 10887-2025")</f>
        <v/>
      </c>
      <c r="X14">
        <f>HYPERLINK("https://klasma.github.io/Logging_080882/tillsyn/A 10887-2025 tillsynsbegäran.docx", "A 10887-2025")</f>
        <v/>
      </c>
      <c r="Y14">
        <f>HYPERLINK("https://klasma.github.io/Logging_080882/tillsynsmail/A 10887-2025 tillsynsbegäran mail.docx", "A 10887-2025")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45812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45812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45812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45812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45812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45812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45812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45812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45812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45812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45812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45812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45812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45812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45812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45812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45812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45812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45812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45812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45812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45812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45812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45812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45812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45812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45812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45812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45812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45812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45812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45812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45812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45812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45812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45812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45812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45812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45812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45812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45812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45812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45812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45812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45812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45812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45812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45812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45812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45812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45812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45812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45812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45812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45812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45812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45812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45812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45812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45812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45812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45812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45812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45812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45812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45812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45812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45812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45812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45812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45812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45812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45812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45812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45812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45812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45812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45812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45812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45812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45812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45812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45812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45812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45812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45812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45812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45812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45812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45812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45812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45812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45812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45812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45812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45812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45812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45812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45812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45812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45812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45812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45812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45812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45812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45812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45812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45812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45812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45812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45812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45812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45812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45812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45812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45812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45812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45812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45812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45812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45812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45812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45812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45812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45812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45812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45812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45812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45812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45812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45812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45812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45812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45812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45812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45812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45812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45812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45812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45812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45812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45812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45812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45812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45812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45812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45812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45812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45812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45812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45812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45812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45812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45812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45812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45812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45812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45812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45812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45812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45812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45812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45812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45812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45812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45812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45812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45812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45812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45812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45812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45812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45812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45812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45812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45812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45812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45812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45812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45812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45812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45812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45812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45812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45812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45812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45812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45812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45812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45812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45812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45812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45812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45812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45812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45812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45812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45812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45812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45812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45812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45812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45812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45812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45812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45812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45812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45812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45812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45812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45812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45812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45812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45812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45812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45812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45812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45812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45812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45812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45812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45812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45812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45812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45812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45812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45812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45812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45812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45812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45812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45812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45812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45812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45812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45812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45812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45812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45812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45812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45812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45812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45812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45812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45812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45812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45812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45812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45812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45812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45812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45812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45812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45812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45812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45812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45812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45812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45812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45812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45812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45812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45812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45812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45812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45812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45812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45812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45812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45812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45812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45812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45812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45812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45812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45812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45812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45812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45812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45812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45812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45812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45812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45812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45812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45812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45812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45812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45812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45812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45812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45812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45812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45812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45812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45812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45812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45812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45812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45812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45812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45812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45812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45812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45812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45812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45812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45812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45812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45812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45812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45812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45812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45812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45812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45812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45812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45812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45812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45812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45812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45812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45812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45812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45812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45812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45812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45812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45812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45812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45812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45812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45812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45812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45812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45812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45812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45812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45812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45812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45812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45812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45812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45812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45812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45812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45812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45812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45812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45812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45812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45812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45812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45812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45812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45812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45812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45812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45812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45812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45812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45812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45812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45812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45812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45812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45812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45812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45812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45812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45812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45812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45812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45812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45812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45812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45812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45812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45812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45812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45812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45812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45812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45812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45812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45812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45812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45812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45812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45812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45812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45812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45812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45812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45812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45812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45812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45812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45812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45812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45812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45812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45812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45812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45812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45812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45812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45812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45812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45812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45812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45812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45812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45812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45812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45812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45812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45812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45812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45812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45812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45812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45812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45812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45812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45812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45812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45812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45812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45812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45812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45812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45812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45812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45812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45812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45812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45812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45812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45812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45812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45812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45812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45812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45812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45812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45812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45812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45812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45812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45812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45812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45812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45812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45812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45812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45812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45812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45812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45812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45812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45812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45812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45812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45812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45812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45812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45812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45812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45812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45812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45812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45812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45812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45812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45812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45812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45812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45812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45812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45812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45812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45812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45812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45812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45812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45812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45812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45812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45812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45812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45812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45812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45812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45812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45812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45812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45812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45812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45812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45812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45812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45812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45812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45812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45812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45812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45812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45812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45812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45812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45812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45812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45812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45812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45812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45812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45812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45812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45812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45812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45812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45812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45812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45812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45812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45812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45812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45812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45812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45812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45812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45812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45812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45812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45812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45812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45812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45812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45812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45812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45812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45812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45812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45812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45812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45812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45812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45812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45812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45812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45812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45812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45812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45812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45812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45812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45812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45812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45812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45812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45812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45812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45812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45812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45812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45812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45812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45812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45812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45812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45812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45812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45812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45812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45812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45812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45812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45812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45812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45812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45812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45812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45812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45812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45812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45812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45812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45812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45812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45812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45812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45812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45812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45812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45812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45812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45812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45812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45812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45812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45812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45812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45812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45812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45812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45812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45812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45812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45812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45812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45812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45812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45812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45812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45812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45812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45812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45812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45812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45812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45812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45812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45812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45812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45812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45812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45812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45812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45812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45812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45812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45812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45812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45812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45812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45812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45812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45812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45812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45812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45812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45812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45812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45812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45812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45812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45812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45812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45812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45812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45812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45812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45812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45812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45812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45812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45812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45812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45812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45812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45812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45812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45812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45812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45812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45812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45812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45812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45812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45812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45812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45812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45812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45812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45812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45812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45812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45812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45812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45812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45812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45812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45812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45812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45812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45812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45812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45812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45812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45812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45812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45812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45812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45812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45812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45812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45812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45812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45812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45812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45812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45812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45812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45812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45812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45812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45812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45812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45812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45812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45812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45812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45812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45812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45812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45812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45812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45812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45812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45812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45812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45812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45812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45812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45812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45812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45812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45812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45812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45812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45812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45812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45812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45812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45812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45812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45812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45812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45812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45812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45812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45812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45812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45812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45812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45812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45812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45812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45812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45812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45812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45812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45812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45812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45812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45812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45812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45812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45812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45812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45812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45812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45812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45812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45812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45812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45812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45812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45812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45812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45812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45812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45812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45812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45812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45812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45812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45812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45812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45812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45812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45812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45812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45812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45812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45812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45812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45812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45812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45812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45812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45812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45812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45812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45812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45812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45812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45812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45812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45812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45812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45812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45812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45812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45812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45812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45812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45812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45812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45812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45812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45812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45812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45812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45812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45812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45812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45812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45812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45812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45812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45812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45812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45812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45812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45812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45812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45812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45812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45812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45812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45812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45812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45812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45812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45812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45812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45812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45812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45812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45812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45812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45812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45812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45812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45812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45812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45812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45812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45812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45812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45812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45812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45812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45812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45812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45812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45812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45812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45812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45812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45812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45812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45812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45812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45812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45812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45812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45812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45812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45812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45812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45812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45812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45812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45812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45812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45812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45812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45812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45812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45812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45812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45812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45812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45812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45812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45812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45812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45812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45812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45812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45812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45812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45812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45812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45812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45812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45812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45812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45812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45812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45812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45812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45812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45812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45812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45812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45812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45812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45812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45812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45812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45812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45812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45812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45812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45812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45812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45812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45812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45812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45812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45812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45812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45812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45812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45812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45812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45812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45812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45812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45812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45812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45812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45812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45812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45812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45812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45812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45812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45812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45812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45812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45812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45812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45812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45812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45812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45812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45812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45812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45812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45812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45812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45812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45812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45812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45812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45812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45812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45812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45812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45812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45812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45812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45812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45812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45812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45812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45812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45812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45812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45812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45812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45812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45812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45812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45812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45812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45812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45812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45812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45812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45812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45812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45812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45812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45812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45812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45812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45812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45812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45812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45812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45812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45812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45812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45812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45812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45812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45812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45812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45812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45812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45812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45812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45812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45812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45812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45812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45812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45812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45812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45812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45812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45812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45812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45812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45812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45812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45812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45812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45812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45812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45812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45812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45812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45812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45812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45812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45812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45812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45812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45812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45812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45812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45812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45812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45812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45812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45812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45812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45812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45812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45812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45812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45812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45812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45812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45812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45812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45812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45812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45812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45812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45812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45812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45812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45812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45812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45812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45812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45812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45812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45812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45812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45812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45812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45812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45812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45812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45812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45812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45812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45812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45812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45812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45812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45812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45812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45812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45812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45812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45812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45812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45812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45812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45812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45812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45812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45812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45812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45812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45812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45812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45812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45812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45812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45812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45812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45812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45812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45812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45812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45812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45812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45812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45812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45812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45812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45812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45812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45812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45812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45812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45812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45812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45812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45812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45812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45812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45812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45812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45812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45812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45812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45812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45812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45812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45812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45812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45812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45812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45812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45812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45812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45812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45812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45812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45812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45812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45812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45812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45812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45812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45812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45812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45812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45812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45812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45812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45812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45812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45812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45812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45812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45812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45812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45812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45812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45812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45812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45812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45812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45812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45812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45812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45812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45812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45812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45812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45812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45812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45812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45812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45812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45812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45812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45812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45812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45812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45812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45812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45812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45812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45812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45812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45812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45812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45812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45812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45812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45812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45812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45812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45812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45812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45812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45812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45812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45812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45812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45812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45812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45812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45812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45812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45812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45812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45812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45812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45812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45812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45812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45812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45812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45812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45812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45812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45812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45812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45812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45812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45812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45812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45812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45812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45812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45812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45812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45812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45812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45812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45812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45812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45812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45812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45812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45812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45812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45812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45812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45812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45812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45812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45812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45812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45812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45812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45812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45812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45812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45812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45812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45812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45812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45812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45812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45812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45812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45812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45812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45812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45812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45812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45812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45812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45812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45812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45812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45812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45812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45812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45812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45812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45812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45812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45812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45812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45812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45812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45812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45812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45812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45812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45812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45812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45812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45812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45812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45812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45812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45812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45812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45812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45812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45812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45812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45812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45812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45812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45812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45812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45812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45812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45812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45812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45812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45812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45812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45812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45812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45812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45812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45812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45812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45812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45812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45812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45812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45812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45812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45812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45812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45812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45812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45812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45812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45812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45812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45812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45812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45812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45812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45812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45812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45812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45812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45812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45812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45812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45812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45812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45812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45812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45812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45812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45812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45812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45812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45812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45812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45812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23622-2025</t>
        </is>
      </c>
      <c r="B1370" s="1" t="n">
        <v>45792</v>
      </c>
      <c r="C1370" s="1" t="n">
        <v>45812</v>
      </c>
      <c r="D1370" t="inlineStr">
        <is>
          <t>KALMAR LÄN</t>
        </is>
      </c>
      <c r="E1370" t="inlineStr">
        <is>
          <t>OSKARSHAMN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45812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45812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23641-2025</t>
        </is>
      </c>
      <c r="B1373" s="1" t="n">
        <v>45792</v>
      </c>
      <c r="C1373" s="1" t="n">
        <v>45812</v>
      </c>
      <c r="D1373" t="inlineStr">
        <is>
          <t>KALMAR LÄN</t>
        </is>
      </c>
      <c r="E1373" t="inlineStr">
        <is>
          <t>OSKARSHAMN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45812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23938-2025</t>
        </is>
      </c>
      <c r="B1375" s="1" t="n">
        <v>45796</v>
      </c>
      <c r="C1375" s="1" t="n">
        <v>45812</v>
      </c>
      <c r="D1375" t="inlineStr">
        <is>
          <t>KALMAR LÄN</t>
        </is>
      </c>
      <c r="E1375" t="inlineStr">
        <is>
          <t>OSKARSHAMN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24281-2025</t>
        </is>
      </c>
      <c r="B1376" s="1" t="n">
        <v>45797</v>
      </c>
      <c r="C1376" s="1" t="n">
        <v>45812</v>
      </c>
      <c r="D1376" t="inlineStr">
        <is>
          <t>KALMAR LÄN</t>
        </is>
      </c>
      <c r="E1376" t="inlineStr">
        <is>
          <t>OSKARSHAMN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24769-2025</t>
        </is>
      </c>
      <c r="B1377" s="1" t="n">
        <v>45799</v>
      </c>
      <c r="C1377" s="1" t="n">
        <v>45812</v>
      </c>
      <c r="D1377" t="inlineStr">
        <is>
          <t>KALMAR LÄN</t>
        </is>
      </c>
      <c r="E1377" t="inlineStr">
        <is>
          <t>OSKARSHAMN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26127-2025</t>
        </is>
      </c>
      <c r="B1378" s="1" t="n">
        <v>45805</v>
      </c>
      <c r="C1378" s="1" t="n">
        <v>45812</v>
      </c>
      <c r="D1378" t="inlineStr">
        <is>
          <t>KALMAR LÄN</t>
        </is>
      </c>
      <c r="E1378" t="inlineStr">
        <is>
          <t>OSKARSHAMN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26260-2025</t>
        </is>
      </c>
      <c r="B1379" s="1" t="n">
        <v>45805</v>
      </c>
      <c r="C1379" s="1" t="n">
        <v>45812</v>
      </c>
      <c r="D1379" t="inlineStr">
        <is>
          <t>KALMAR LÄN</t>
        </is>
      </c>
      <c r="E1379" t="inlineStr">
        <is>
          <t>OSKARSHAMN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45812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26996-2025</t>
        </is>
      </c>
      <c r="B1381" s="1" t="n">
        <v>45811</v>
      </c>
      <c r="C1381" s="1" t="n">
        <v>45812</v>
      </c>
      <c r="D1381" t="inlineStr">
        <is>
          <t>KALMAR LÄN</t>
        </is>
      </c>
      <c r="E1381" t="inlineStr">
        <is>
          <t>OSKARSHAMN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27075-2025</t>
        </is>
      </c>
      <c r="B1382" s="1" t="n">
        <v>45811</v>
      </c>
      <c r="C1382" s="1" t="n">
        <v>45812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2025-06-04T18:18:15Z</dcterms:created>
  <dcterms:modified xmlns:dcterms="http://purl.org/dc/terms/" xmlns:xsi="http://www.w3.org/2001/XMLSchema-instance" xsi:type="dcterms:W3CDTF">2025-06-04T18:18:16Z</dcterms:modified>
</cp:coreProperties>
</file>