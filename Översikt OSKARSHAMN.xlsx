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46236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46236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46236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46236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46236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46236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46236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46236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46236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46236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46236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46236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46236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46236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46236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46236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46236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46236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46236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46236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46236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46236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46236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46236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46236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46236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46236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46236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46236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46236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46236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46236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46236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38954-2021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46236</v>
      </c>
      <c r="F47" t="inlineStr">
        <is>
          <t>KALMAR LÄN</t>
        </is>
      </c>
      <c r="G47" t="inlineStr">
        <is>
          <t>OSKARSHAMN</t>
        </is>
      </c>
      <c r="I47" t="n">
        <v>7.3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HYPERLINK("https://klasma.github.io/Logging_0882/artfynd/A 38954-2021 artfynd.xlsx", "A 38954-2021")</f>
        <v/>
      </c>
      <c r="X47">
        <f>HYPERLINK("https://klasma.github.io/Logging_0882/kartor/A 38954-2021 karta.png", "A 38954-2021")</f>
        <v/>
      </c>
      <c r="Y47">
        <f>HYPERLINK("https://klasma.github.io/Logging_0882/kartor_geotiff/A 38954-2021 georefererad karta.tif", "A 38954-2021")</f>
        <v/>
      </c>
      <c r="AA47">
        <f>HYPERLINK("https://klasma.github.io/Logging_0882/klagomål/A 38954-2021 FSC-klagomål.docx", "A 38954-2021")</f>
        <v/>
      </c>
      <c r="AB47">
        <f>HYPERLINK("https://klasma.github.io/Logging_0882/klagomålsmail/A 38954-2021 FSC-klagomål mail.docx", "A 38954-2021")</f>
        <v/>
      </c>
      <c r="AC47">
        <f>HYPERLINK("https://klasma.github.io/Logging_0882/tillsyn/A 38954-2021 tillsynsbegäran.docx", "A 38954-2021")</f>
        <v/>
      </c>
      <c r="AD47">
        <f>HYPERLINK("https://klasma.github.io/Logging_0882/tillsynsmail/A 38954-2021 tillsynsbegäran mail.docx", "A 38954-2021")</f>
        <v/>
      </c>
      <c r="AE47">
        <f>HYPERLINK("https://klasma.github.io/Logging_0882/fåglar/A 38954-2021 prioriterade fågelarter.docx", "A 38954-2021")</f>
        <v/>
      </c>
    </row>
    <row r="48" ht="15" customHeight="1">
      <c r="A48" t="inlineStr">
        <is>
          <t>A 42374-2021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46236</v>
      </c>
      <c r="F48" t="inlineStr">
        <is>
          <t>KALMAR LÄN</t>
        </is>
      </c>
      <c r="G48" t="inlineStr">
        <is>
          <t>OSKARSHAMN</t>
        </is>
      </c>
      <c r="I48" t="n">
        <v>29.4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42374-2021 artfynd.xlsx", "A 42374-2021")</f>
        <v/>
      </c>
      <c r="X48">
        <f>HYPERLINK("https://klasma.github.io/Logging_0882/kartor/A 42374-2021 karta.png", "A 42374-2021")</f>
        <v/>
      </c>
      <c r="Y48">
        <f>HYPERLINK("https://klasma.github.io/Logging_0882/kartor_geotiff/A 42374-2021 georefererad karta.tif", "A 42374-2021")</f>
        <v/>
      </c>
      <c r="AA48">
        <f>HYPERLINK("https://klasma.github.io/Logging_0882/klagomål/A 42374-2021 FSC-klagomål.docx", "A 42374-2021")</f>
        <v/>
      </c>
      <c r="AB48">
        <f>HYPERLINK("https://klasma.github.io/Logging_0882/klagomålsmail/A 42374-2021 FSC-klagomål mail.docx", "A 42374-2021")</f>
        <v/>
      </c>
      <c r="AC48">
        <f>HYPERLINK("https://klasma.github.io/Logging_0882/tillsyn/A 42374-2021 tillsynsbegäran.docx", "A 42374-2021")</f>
        <v/>
      </c>
      <c r="AD48">
        <f>HYPERLINK("https://klasma.github.io/Logging_0882/tillsynsmail/A 42374-2021 tillsynsbegäran mail.docx", "A 42374-2021")</f>
        <v/>
      </c>
      <c r="AE48">
        <f>HYPERLINK("https://klasma.github.io/Logging_0882/fåglar/A 42374-2021 prioriterade fågelarter.docx", "A 42374-2021")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46236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46236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17193-2023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45034</v>
      </c>
      <c r="E51" s="1" t="n">
        <v>46236</v>
      </c>
      <c r="F51" t="inlineStr">
        <is>
          <t>KALMAR LÄN</t>
        </is>
      </c>
      <c r="G51" t="inlineStr">
        <is>
          <t>OSKARSHAMN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Slåttergubbe</t>
        </is>
      </c>
      <c r="W51">
        <f>HYPERLINK("https://klasma.github.io/Logging_0882/artfynd/A 17193-2023 artfynd.xlsx", "A 17193-2023")</f>
        <v/>
      </c>
      <c r="X51">
        <f>HYPERLINK("https://klasma.github.io/Logging_0882/kartor/A 17193-2023 karta.png", "A 17193-2023")</f>
        <v/>
      </c>
      <c r="Y51">
        <f>HYPERLINK("https://klasma.github.io/Logging_0882/kartor_geotiff/A 17193-2023 georefererad karta.tif", "A 17193-2023")</f>
        <v/>
      </c>
      <c r="AA51">
        <f>HYPERLINK("https://klasma.github.io/Logging_0882/klagomål/A 17193-2023 FSC-klagomål.docx", "A 17193-2023")</f>
        <v/>
      </c>
      <c r="AB51">
        <f>HYPERLINK("https://klasma.github.io/Logging_0882/klagomålsmail/A 17193-2023 FSC-klagomål mail.docx", "A 17193-2023")</f>
        <v/>
      </c>
      <c r="AC51">
        <f>HYPERLINK("https://klasma.github.io/Logging_0882/tillsyn/A 17193-2023 tillsynsbegäran.docx", "A 17193-2023")</f>
        <v/>
      </c>
      <c r="AD51">
        <f>HYPERLINK("https://klasma.github.io/Logging_0882/tillsynsmail/A 17193-2023 tillsynsbegäran mail.docx", "A 17193-2023")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46236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46236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46236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42759-2025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46236</v>
      </c>
      <c r="F55" t="inlineStr">
        <is>
          <t>KALMAR LÄN</t>
        </is>
      </c>
      <c r="G55" t="inlineStr">
        <is>
          <t>OSKARSHAMN</t>
        </is>
      </c>
      <c r="I55" t="n">
        <v>5.7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HYPERLINK("https://klasma.github.io/Logging_0882/artfynd/A 42759-2025 artfynd.xlsx", "A 42759-2025")</f>
        <v/>
      </c>
      <c r="X55">
        <f>HYPERLINK("https://klasma.github.io/Logging_0882/kartor/A 42759-2025 karta.png", "A 42759-2025")</f>
        <v/>
      </c>
      <c r="Y55">
        <f>HYPERLINK("https://klasma.github.io/Logging_0882/kartor_geotiff/A 42759-2025 georefererad karta.tif", "A 42759-2025")</f>
        <v/>
      </c>
      <c r="AA55">
        <f>HYPERLINK("https://klasma.github.io/Logging_0882/klagomål/A 42759-2025 FSC-klagomål.docx", "A 42759-2025")</f>
        <v/>
      </c>
      <c r="AB55">
        <f>HYPERLINK("https://klasma.github.io/Logging_0882/klagomålsmail/A 42759-2025 FSC-klagomål mail.docx", "A 42759-2025")</f>
        <v/>
      </c>
      <c r="AC55">
        <f>HYPERLINK("https://klasma.github.io/Logging_0882/tillsyn/A 42759-2025 tillsynsbegäran.docx", "A 42759-2025")</f>
        <v/>
      </c>
      <c r="AD55">
        <f>HYPERLINK("https://klasma.github.io/Logging_0882/tillsynsmail/A 42759-2025 tillsynsbegäran mail.docx", "A 42759-2025")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46236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46236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46236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46236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46236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13715-2026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46236</v>
      </c>
      <c r="F61" t="inlineStr">
        <is>
          <t>KALMAR LÄN</t>
        </is>
      </c>
      <c r="G61" t="inlineStr">
        <is>
          <t>OSKARSHAMN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HYPERLINK("https://klasma.github.io/Logging_0882/artfynd/A 13715-2026 artfynd.xlsx", "A 13715-2026")</f>
        <v/>
      </c>
      <c r="X61">
        <f>HYPERLINK("https://klasma.github.io/Logging_0882/kartor/A 13715-2026 karta.png", "A 13715-2026")</f>
        <v/>
      </c>
      <c r="Y61">
        <f>HYPERLINK("https://klasma.github.io/Logging_0882/kartor_geotiff/A 13715-2026 georefererad karta.tif", "A 13715-2026")</f>
        <v/>
      </c>
      <c r="AA61">
        <f>HYPERLINK("https://klasma.github.io/Logging_0882/klagomål/A 13715-2026 FSC-klagomål.docx", "A 13715-2026")</f>
        <v/>
      </c>
      <c r="AB61">
        <f>HYPERLINK("https://klasma.github.io/Logging_0882/klagomålsmail/A 13715-2026 FSC-klagomål mail.docx", "A 13715-2026")</f>
        <v/>
      </c>
      <c r="AC61">
        <f>HYPERLINK("https://klasma.github.io/Logging_0882/tillsyn/A 13715-2026 tillsynsbegäran.docx", "A 13715-2026")</f>
        <v/>
      </c>
      <c r="AD61">
        <f>HYPERLINK("https://klasma.github.io/Logging_0882/tillsynsmail/A 13715-2026 tillsynsbegäran mail.docx", "A 13715-2026")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46236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46236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46236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A 39629-2022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46236</v>
      </c>
      <c r="F65" t="inlineStr">
        <is>
          <t>KALMAR LÄN</t>
        </is>
      </c>
      <c r="G65" t="inlineStr">
        <is>
          <t>OSKARSHAMN</t>
        </is>
      </c>
      <c r="I65" t="n">
        <v>14.8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Åttafläckig praktbagge</t>
        </is>
      </c>
      <c r="W65">
        <f>HYPERLINK("https://klasma.github.io/Logging_0882/artfynd/A 39629-2022 artfynd.xlsx", "A 39629-2022")</f>
        <v/>
      </c>
      <c r="X65">
        <f>HYPERLINK("https://klasma.github.io/Logging_0882/kartor/A 39629-2022 karta.png", "A 39629-2022")</f>
        <v/>
      </c>
      <c r="Y65">
        <f>HYPERLINK("https://klasma.github.io/Logging_0882/kartor_geotiff/A 39629-2022 georefererad karta.tif", "A 39629-2022")</f>
        <v/>
      </c>
      <c r="AA65">
        <f>HYPERLINK("https://klasma.github.io/Logging_0882/klagomål/A 39629-2022 FSC-klagomål.docx", "A 39629-2022")</f>
        <v/>
      </c>
      <c r="AB65">
        <f>HYPERLINK("https://klasma.github.io/Logging_0882/klagomålsmail/A 39629-2022 FSC-klagomål mail.docx", "A 39629-2022")</f>
        <v/>
      </c>
      <c r="AC65">
        <f>HYPERLINK("https://klasma.github.io/Logging_0882/tillsyn/A 39629-2022 tillsynsbegäran.docx", "A 39629-2022")</f>
        <v/>
      </c>
      <c r="AD65">
        <f>HYPERLINK("https://klasma.github.io/Logging_0882/tillsynsmail/A 39629-2022 tillsynsbegäran mail.docx", "A 39629-2022")</f>
        <v/>
      </c>
    </row>
    <row r="66" ht="15" customHeight="1">
      <c r="A66" t="inlineStr">
        <is>
          <t>S 562-2022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44592</v>
      </c>
      <c r="E66" s="1" t="n">
        <v>46236</v>
      </c>
      <c r="F66" t="inlineStr">
        <is>
          <t>KALMAR LÄN</t>
        </is>
      </c>
      <c r="G66" t="inlineStr">
        <is>
          <t>OSKARSHAMN</t>
        </is>
      </c>
      <c r="I66" t="n">
        <v>18.6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HYPERLINK("https://klasma.github.io/Logging_0882/artfynd/S 562-2022 artfynd.xlsx", "S 562-2022")</f>
        <v/>
      </c>
      <c r="X66">
        <f>HYPERLINK("https://klasma.github.io/Logging_0882/kartor/S 562-2022 karta.png", "S 562-2022")</f>
        <v/>
      </c>
      <c r="Y66">
        <f>HYPERLINK("https://klasma.github.io/Logging_0882/kartor_geotiff/S 562-2022 georefererad karta.tif", "S 562-2022")</f>
        <v/>
      </c>
      <c r="AA66">
        <f>HYPERLINK("https://klasma.github.io/Logging_0882/klagomål/S 562-2022 FSC-klagomål.docx", "S 562-2022")</f>
        <v/>
      </c>
      <c r="AB66">
        <f>HYPERLINK("https://klasma.github.io/Logging_0882/klagomålsmail/S 562-2022 FSC-klagomål mail.docx", "S 562-2022")</f>
        <v/>
      </c>
      <c r="AC66">
        <f>HYPERLINK("https://klasma.github.io/Logging_0882/tillsyn/S 562-2022 tillsynsbegäran.docx", "S 562-2022")</f>
        <v/>
      </c>
      <c r="AD66">
        <f>HYPERLINK("https://klasma.github.io/Logging_0882/tillsynsmail/S 562-2022 tillsynsbegäran mail.docx", "S 562-2022")</f>
        <v/>
      </c>
    </row>
    <row r="67" ht="15" customHeight="1">
      <c r="A67" t="inlineStr">
        <is>
          <t>A 36313-2022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46236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46236</v>
      </c>
      <c r="F68" t="inlineStr">
        <is>
          <t>KALMAR LÄN</t>
        </is>
      </c>
      <c r="G68" t="inlineStr">
        <is>
          <t>OSKARSHAMN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46236</v>
      </c>
      <c r="F69" t="inlineStr">
        <is>
          <t>KALMAR LÄN</t>
        </is>
      </c>
      <c r="G69" t="inlineStr">
        <is>
          <t>OSKARSHAMN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46236</v>
      </c>
      <c r="F70" t="inlineStr">
        <is>
          <t>KALMAR LÄN</t>
        </is>
      </c>
      <c r="G70" t="inlineStr">
        <is>
          <t>OSKARSHAMN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46236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46236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46236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46236</v>
      </c>
      <c r="F74" t="inlineStr">
        <is>
          <t>KALMAR LÄN</t>
        </is>
      </c>
      <c r="G74" t="inlineStr">
        <is>
          <t>OSKARSHAMN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46236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46236</v>
      </c>
      <c r="F77" t="inlineStr">
        <is>
          <t>KALMAR LÄN</t>
        </is>
      </c>
      <c r="G77" t="inlineStr">
        <is>
          <t>OSKARSHAMN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46236</v>
      </c>
      <c r="F78" t="inlineStr">
        <is>
          <t>KALMAR LÄN</t>
        </is>
      </c>
      <c r="G78" t="inlineStr">
        <is>
          <t>OSKARSHAMN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46236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46236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46236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46236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46236</v>
      </c>
      <c r="F83" t="inlineStr">
        <is>
          <t>KALMAR LÄN</t>
        </is>
      </c>
      <c r="G83" t="inlineStr">
        <is>
          <t>OSKARSHAMN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46236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44443</v>
      </c>
      <c r="E85" s="1" t="n">
        <v>46236</v>
      </c>
      <c r="F85" t="inlineStr">
        <is>
          <t>KALMAR LÄN</t>
        </is>
      </c>
      <c r="G85" t="inlineStr">
        <is>
          <t>OSKARSHAMN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47843-2022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44855</v>
      </c>
      <c r="E86" s="1" t="n">
        <v>46236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46236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46236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46236</v>
      </c>
      <c r="F89" t="inlineStr">
        <is>
          <t>KALMAR LÄN</t>
        </is>
      </c>
      <c r="G89" t="inlineStr">
        <is>
          <t>OSKARSHAMN</t>
        </is>
      </c>
      <c r="H89" t="inlineStr">
        <is>
          <t>Övriga Aktiebolag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46236</v>
      </c>
      <c r="F90" t="inlineStr">
        <is>
          <t>KALMAR LÄN</t>
        </is>
      </c>
      <c r="G90" t="inlineStr">
        <is>
          <t>OSKARSHAMN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46236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46236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46236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46236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46236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46236</v>
      </c>
      <c r="F96" t="inlineStr">
        <is>
          <t>KALMAR LÄN</t>
        </is>
      </c>
      <c r="G96" t="inlineStr">
        <is>
          <t>OSKARSHAMN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46236</v>
      </c>
      <c r="F97" t="inlineStr">
        <is>
          <t>KALMAR LÄN</t>
        </is>
      </c>
      <c r="G97" t="inlineStr">
        <is>
          <t>OSKARSHAMN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46236</v>
      </c>
      <c r="F98" t="inlineStr">
        <is>
          <t>KALMAR LÄN</t>
        </is>
      </c>
      <c r="G98" t="inlineStr">
        <is>
          <t>OSKARSHAMN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46236</v>
      </c>
      <c r="F99" t="inlineStr">
        <is>
          <t>KALMAR LÄN</t>
        </is>
      </c>
      <c r="G99" t="inlineStr">
        <is>
          <t>OSKARSHAMN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46236</v>
      </c>
      <c r="F100" t="inlineStr">
        <is>
          <t>KALMAR LÄN</t>
        </is>
      </c>
      <c r="G100" t="inlineStr">
        <is>
          <t>OSKARSHAMN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46236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46236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46236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46236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46236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46236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46236</v>
      </c>
      <c r="F107" t="inlineStr">
        <is>
          <t>KALMAR LÄN</t>
        </is>
      </c>
      <c r="G107" t="inlineStr">
        <is>
          <t>OSKARSHAMN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46236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46236</v>
      </c>
      <c r="F109" t="inlineStr">
        <is>
          <t>KALMAR LÄN</t>
        </is>
      </c>
      <c r="G109" t="inlineStr">
        <is>
          <t>OSKARSHAMN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46236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45323</v>
      </c>
      <c r="E111" s="1" t="n">
        <v>46236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46236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27684-2022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44743</v>
      </c>
      <c r="E113" s="1" t="n">
        <v>46236</v>
      </c>
      <c r="F113" t="inlineStr">
        <is>
          <t>KALMAR LÄN</t>
        </is>
      </c>
      <c r="G113" t="inlineStr">
        <is>
          <t>OSKARSHAMN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46236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46236</v>
      </c>
      <c r="F115" t="inlineStr">
        <is>
          <t>KALMAR LÄN</t>
        </is>
      </c>
      <c r="G115" t="inlineStr">
        <is>
          <t>OSKARSHAMN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46236</v>
      </c>
      <c r="F116" t="inlineStr">
        <is>
          <t>KALMAR LÄN</t>
        </is>
      </c>
      <c r="G116" t="inlineStr">
        <is>
          <t>OSKARSHAMN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46236</v>
      </c>
      <c r="F117" t="inlineStr">
        <is>
          <t>KALMAR LÄN</t>
        </is>
      </c>
      <c r="G117" t="inlineStr">
        <is>
          <t>OSKARSHAMN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44869</v>
      </c>
      <c r="E118" s="1" t="n">
        <v>46236</v>
      </c>
      <c r="F118" t="inlineStr">
        <is>
          <t>KALMAR LÄN</t>
        </is>
      </c>
      <c r="G118" t="inlineStr">
        <is>
          <t>OSKARSHAMN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44585</v>
      </c>
      <c r="E119" s="1" t="n">
        <v>46236</v>
      </c>
      <c r="F119" t="inlineStr">
        <is>
          <t>KALMAR LÄN</t>
        </is>
      </c>
      <c r="G119" t="inlineStr">
        <is>
          <t>OSKARSHAMN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46236</v>
      </c>
      <c r="F120" t="inlineStr">
        <is>
          <t>KALMAR LÄN</t>
        </is>
      </c>
      <c r="G120" t="inlineStr">
        <is>
          <t>OSKARSHAMN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44593</v>
      </c>
      <c r="E121" s="1" t="n">
        <v>46236</v>
      </c>
      <c r="F121" t="inlineStr">
        <is>
          <t>KALMAR LÄN</t>
        </is>
      </c>
      <c r="G121" t="inlineStr">
        <is>
          <t>OSKARSHAMN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46236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46236</v>
      </c>
      <c r="F123" t="inlineStr">
        <is>
          <t>KALMAR LÄN</t>
        </is>
      </c>
      <c r="G123" t="inlineStr">
        <is>
          <t>OSKARSHAMN</t>
        </is>
      </c>
      <c r="H123" t="inlineStr">
        <is>
          <t>Övriga Aktiebolag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46236</v>
      </c>
      <c r="F124" t="inlineStr">
        <is>
          <t>KALMAR LÄN</t>
        </is>
      </c>
      <c r="G124" t="inlineStr">
        <is>
          <t>OSKARSHAMN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51383-2021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46236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46236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46236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45012</v>
      </c>
      <c r="E128" s="1" t="n">
        <v>46236</v>
      </c>
      <c r="F128" t="inlineStr">
        <is>
          <t>KALMAR LÄN</t>
        </is>
      </c>
      <c r="G128" t="inlineStr">
        <is>
          <t>OSKARSHAMN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46236</v>
      </c>
      <c r="F129" t="inlineStr">
        <is>
          <t>KALMAR LÄN</t>
        </is>
      </c>
      <c r="G129" t="inlineStr">
        <is>
          <t>OSKARSHAMN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46236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46236</v>
      </c>
      <c r="F131" t="inlineStr">
        <is>
          <t>KALMAR LÄN</t>
        </is>
      </c>
      <c r="G131" t="inlineStr">
        <is>
          <t>OSKARSHAMN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44756</v>
      </c>
      <c r="E132" s="1" t="n">
        <v>46236</v>
      </c>
      <c r="F132" t="inlineStr">
        <is>
          <t>KALMAR LÄN</t>
        </is>
      </c>
      <c r="G132" t="inlineStr">
        <is>
          <t>OSKARSHAMN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46236</v>
      </c>
      <c r="F133" t="inlineStr">
        <is>
          <t>KALMAR LÄN</t>
        </is>
      </c>
      <c r="G133" t="inlineStr">
        <is>
          <t>OSKARSHAMN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44791</v>
      </c>
      <c r="E134" s="1" t="n">
        <v>46236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46236</v>
      </c>
      <c r="F135" t="inlineStr">
        <is>
          <t>KALMAR LÄN</t>
        </is>
      </c>
      <c r="G135" t="inlineStr">
        <is>
          <t>OSKARSHAMN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46236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46236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46236</v>
      </c>
      <c r="F138" t="inlineStr">
        <is>
          <t>KALMAR LÄN</t>
        </is>
      </c>
      <c r="G138" t="inlineStr">
        <is>
          <t>OSKARSHAMN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46236</v>
      </c>
      <c r="F139" t="inlineStr">
        <is>
          <t>KALMAR LÄN</t>
        </is>
      </c>
      <c r="G139" t="inlineStr">
        <is>
          <t>OSKARSHAMN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44818</v>
      </c>
      <c r="E140" s="1" t="n">
        <v>46236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46236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46236</v>
      </c>
      <c r="F142" t="inlineStr">
        <is>
          <t>KALMAR LÄN</t>
        </is>
      </c>
      <c r="G142" t="inlineStr">
        <is>
          <t>OSKARSHAMN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46236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46236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46236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46236</v>
      </c>
      <c r="F146" t="inlineStr">
        <is>
          <t>KALMAR LÄN</t>
        </is>
      </c>
      <c r="G146" t="inlineStr">
        <is>
          <t>OSKARSHAMN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46236</v>
      </c>
      <c r="F147" t="inlineStr">
        <is>
          <t>KALMAR LÄN</t>
        </is>
      </c>
      <c r="G147" t="inlineStr">
        <is>
          <t>OSKARSHAMN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46236</v>
      </c>
      <c r="F148" t="inlineStr">
        <is>
          <t>KALMAR LÄN</t>
        </is>
      </c>
      <c r="G148" t="inlineStr">
        <is>
          <t>OSKARSHAMN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46236</v>
      </c>
      <c r="F149" t="inlineStr">
        <is>
          <t>KALMAR LÄN</t>
        </is>
      </c>
      <c r="G149" t="inlineStr">
        <is>
          <t>OSKARSHAMN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46236</v>
      </c>
      <c r="F150" t="inlineStr">
        <is>
          <t>KALMAR LÄN</t>
        </is>
      </c>
      <c r="G150" t="inlineStr">
        <is>
          <t>OSKARSHAMN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46236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46236</v>
      </c>
      <c r="F152" t="inlineStr">
        <is>
          <t>KALMAR LÄN</t>
        </is>
      </c>
      <c r="G152" t="inlineStr">
        <is>
          <t>OSKARSHAMN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45105</v>
      </c>
      <c r="E153" s="1" t="n">
        <v>46236</v>
      </c>
      <c r="F153" t="inlineStr">
        <is>
          <t>KALMAR LÄN</t>
        </is>
      </c>
      <c r="G153" t="inlineStr">
        <is>
          <t>OSKARSHAMN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44862</v>
      </c>
      <c r="E154" s="1" t="n">
        <v>46236</v>
      </c>
      <c r="F154" t="inlineStr">
        <is>
          <t>KALMAR LÄN</t>
        </is>
      </c>
      <c r="G154" t="inlineStr">
        <is>
          <t>OSKARSHAMN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46236</v>
      </c>
      <c r="F155" t="inlineStr">
        <is>
          <t>KALMAR LÄN</t>
        </is>
      </c>
      <c r="G155" t="inlineStr">
        <is>
          <t>OSKARSHAMN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46236</v>
      </c>
      <c r="F156" t="inlineStr">
        <is>
          <t>KALMAR LÄN</t>
        </is>
      </c>
      <c r="G156" t="inlineStr">
        <is>
          <t>OSKARSHAMN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44908</v>
      </c>
      <c r="E157" s="1" t="n">
        <v>46236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46236</v>
      </c>
      <c r="F158" t="inlineStr">
        <is>
          <t>KALMAR LÄN</t>
        </is>
      </c>
      <c r="G158" t="inlineStr">
        <is>
          <t>OSKARSHAMN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46236</v>
      </c>
      <c r="F159" t="inlineStr">
        <is>
          <t>KALMAR LÄN</t>
        </is>
      </c>
      <c r="G159" t="inlineStr">
        <is>
          <t>OSKARSHAMN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45406</v>
      </c>
      <c r="E160" s="1" t="n">
        <v>46236</v>
      </c>
      <c r="F160" t="inlineStr">
        <is>
          <t>KALMAR LÄN</t>
        </is>
      </c>
      <c r="G160" t="inlineStr">
        <is>
          <t>OSKARSHAMN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46236</v>
      </c>
      <c r="F161" t="inlineStr">
        <is>
          <t>KALMAR LÄN</t>
        </is>
      </c>
      <c r="G161" t="inlineStr">
        <is>
          <t>OSKARSHAMN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44443</v>
      </c>
      <c r="E162" s="1" t="n">
        <v>46236</v>
      </c>
      <c r="F162" t="inlineStr">
        <is>
          <t>KALMAR LÄN</t>
        </is>
      </c>
      <c r="G162" t="inlineStr">
        <is>
          <t>OSKARSHAMN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46236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46236</v>
      </c>
      <c r="F164" t="inlineStr">
        <is>
          <t>KALMAR LÄN</t>
        </is>
      </c>
      <c r="G164" t="inlineStr">
        <is>
          <t>OSKARSHAMN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44820</v>
      </c>
      <c r="E165" s="1" t="n">
        <v>46236</v>
      </c>
      <c r="F165" t="inlineStr">
        <is>
          <t>KALMAR LÄN</t>
        </is>
      </c>
      <c r="G165" t="inlineStr">
        <is>
          <t>OSKARSHAMN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46236</v>
      </c>
      <c r="F166" t="inlineStr">
        <is>
          <t>KALMAR LÄN</t>
        </is>
      </c>
      <c r="G166" t="inlineStr">
        <is>
          <t>OSKARSHAMN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46236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46236</v>
      </c>
      <c r="F168" t="inlineStr">
        <is>
          <t>KALMAR LÄN</t>
        </is>
      </c>
      <c r="G168" t="inlineStr">
        <is>
          <t>OSKARSHAMN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46236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46236</v>
      </c>
      <c r="F170" t="inlineStr">
        <is>
          <t>KALMAR LÄN</t>
        </is>
      </c>
      <c r="G170" t="inlineStr">
        <is>
          <t>OSKARSHAMN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46236</v>
      </c>
      <c r="F171" t="inlineStr">
        <is>
          <t>KALMAR LÄN</t>
        </is>
      </c>
      <c r="G171" t="inlineStr">
        <is>
          <t>OSKARSHAMN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46236</v>
      </c>
      <c r="F172" t="inlineStr">
        <is>
          <t>KALMAR LÄN</t>
        </is>
      </c>
      <c r="G172" t="inlineStr">
        <is>
          <t>OSKARSHAMN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46236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46236</v>
      </c>
      <c r="F174" t="inlineStr">
        <is>
          <t>KALMAR LÄN</t>
        </is>
      </c>
      <c r="G174" t="inlineStr">
        <is>
          <t>OSKARSHAMN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46236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46236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46236</v>
      </c>
      <c r="F177" t="inlineStr">
        <is>
          <t>KALMAR LÄN</t>
        </is>
      </c>
      <c r="G177" t="inlineStr">
        <is>
          <t>OSKARSHAMN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46236</v>
      </c>
      <c r="F178" t="inlineStr">
        <is>
          <t>KALMAR LÄN</t>
        </is>
      </c>
      <c r="G178" t="inlineStr">
        <is>
          <t>OSKARSHAMN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46236</v>
      </c>
      <c r="F179" t="inlineStr">
        <is>
          <t>KALMAR LÄN</t>
        </is>
      </c>
      <c r="G179" t="inlineStr">
        <is>
          <t>OSKARSHAMN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46236</v>
      </c>
      <c r="F180" t="inlineStr">
        <is>
          <t>KALMAR LÄN</t>
        </is>
      </c>
      <c r="G180" t="inlineStr">
        <is>
          <t>OSKARSHAMN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45490</v>
      </c>
      <c r="E181" s="1" t="n">
        <v>46236</v>
      </c>
      <c r="F181" t="inlineStr">
        <is>
          <t>KALMAR LÄN</t>
        </is>
      </c>
      <c r="G181" t="inlineStr">
        <is>
          <t>OSKARSHAMN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45056</v>
      </c>
      <c r="E182" s="1" t="n">
        <v>46236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46236</v>
      </c>
      <c r="F183" t="inlineStr">
        <is>
          <t>KALMAR LÄN</t>
        </is>
      </c>
      <c r="G183" t="inlineStr">
        <is>
          <t>OSKARSHAMN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45218</v>
      </c>
      <c r="E184" s="1" t="n">
        <v>46236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45691</v>
      </c>
      <c r="E185" s="1" t="n">
        <v>46236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46236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46236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46236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46236</v>
      </c>
      <c r="F189" t="inlineStr">
        <is>
          <t>KALMAR LÄN</t>
        </is>
      </c>
      <c r="G189" t="inlineStr">
        <is>
          <t>OSKARSHAMN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44624</v>
      </c>
      <c r="E190" s="1" t="n">
        <v>46236</v>
      </c>
      <c r="F190" t="inlineStr">
        <is>
          <t>KALMAR LÄN</t>
        </is>
      </c>
      <c r="G190" t="inlineStr">
        <is>
          <t>OSKARSHAMN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44963</v>
      </c>
      <c r="E191" s="1" t="n">
        <v>46236</v>
      </c>
      <c r="F191" t="inlineStr">
        <is>
          <t>KALMAR LÄN</t>
        </is>
      </c>
      <c r="G191" t="inlineStr">
        <is>
          <t>OSKARSHAMN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46236</v>
      </c>
      <c r="F192" t="inlineStr">
        <is>
          <t>KALMAR LÄN</t>
        </is>
      </c>
      <c r="G192" t="inlineStr">
        <is>
          <t>OSKARSHAMN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46236</v>
      </c>
      <c r="F193" t="inlineStr">
        <is>
          <t>KALMAR LÄN</t>
        </is>
      </c>
      <c r="G193" t="inlineStr">
        <is>
          <t>OSKARSHAMN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46236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46236</v>
      </c>
      <c r="F195" t="inlineStr">
        <is>
          <t>KALMAR LÄN</t>
        </is>
      </c>
      <c r="G195" t="inlineStr">
        <is>
          <t>OSKARSHAMN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46236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46236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45432</v>
      </c>
      <c r="E198" s="1" t="n">
        <v>46236</v>
      </c>
      <c r="F198" t="inlineStr">
        <is>
          <t>KALMAR LÄN</t>
        </is>
      </c>
      <c r="G198" t="inlineStr">
        <is>
          <t>OSKARSHAMN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46236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46236</v>
      </c>
      <c r="F200" t="inlineStr">
        <is>
          <t>KALMAR LÄN</t>
        </is>
      </c>
      <c r="G200" t="inlineStr">
        <is>
          <t>OSKARSHAMN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46236</v>
      </c>
      <c r="F201" t="inlineStr">
        <is>
          <t>KALMAR LÄN</t>
        </is>
      </c>
      <c r="G201" t="inlineStr">
        <is>
          <t>OSKARSHAMN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46236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46236</v>
      </c>
      <c r="F203" t="inlineStr">
        <is>
          <t>KALMAR LÄN</t>
        </is>
      </c>
      <c r="G203" t="inlineStr">
        <is>
          <t>OSKARSHAMN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44505</v>
      </c>
      <c r="E204" s="1" t="n">
        <v>46236</v>
      </c>
      <c r="F204" t="inlineStr">
        <is>
          <t>KALMAR LÄN</t>
        </is>
      </c>
      <c r="G204" t="inlineStr">
        <is>
          <t>OSKARSHAMN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46236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46236</v>
      </c>
      <c r="F206" t="inlineStr">
        <is>
          <t>KALMAR LÄN</t>
        </is>
      </c>
      <c r="G206" t="inlineStr">
        <is>
          <t>OSKARSHAMN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46236</v>
      </c>
      <c r="F207" t="inlineStr">
        <is>
          <t>KALMAR LÄN</t>
        </is>
      </c>
      <c r="G207" t="inlineStr">
        <is>
          <t>OSKARSHAMN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45523</v>
      </c>
      <c r="E208" s="1" t="n">
        <v>46236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46236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46236</v>
      </c>
      <c r="F210" t="inlineStr">
        <is>
          <t>KALMAR LÄN</t>
        </is>
      </c>
      <c r="G210" t="inlineStr">
        <is>
          <t>OSKARSHAMN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45709</v>
      </c>
      <c r="E211" s="1" t="n">
        <v>46236</v>
      </c>
      <c r="F211" t="inlineStr">
        <is>
          <t>KALMAR LÄN</t>
        </is>
      </c>
      <c r="G211" t="inlineStr">
        <is>
          <t>OSKARSHAMN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46236</v>
      </c>
      <c r="F212" t="inlineStr">
        <is>
          <t>KALMAR LÄN</t>
        </is>
      </c>
      <c r="G212" t="inlineStr">
        <is>
          <t>OSKARSHAMN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46236</v>
      </c>
      <c r="F213" t="inlineStr">
        <is>
          <t>KALMAR LÄN</t>
        </is>
      </c>
      <c r="G213" t="inlineStr">
        <is>
          <t>OSKARSHAMN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46236</v>
      </c>
      <c r="F214" t="inlineStr">
        <is>
          <t>KALMAR LÄN</t>
        </is>
      </c>
      <c r="G214" t="inlineStr">
        <is>
          <t>OSKARSHAMN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46236</v>
      </c>
      <c r="F215" t="inlineStr">
        <is>
          <t>KALMAR LÄN</t>
        </is>
      </c>
      <c r="G215" t="inlineStr">
        <is>
          <t>OSKARSHAMN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45908</v>
      </c>
      <c r="E216" s="1" t="n">
        <v>46236</v>
      </c>
      <c r="F216" t="inlineStr">
        <is>
          <t>KALMAR LÄN</t>
        </is>
      </c>
      <c r="G216" t="inlineStr">
        <is>
          <t>OSKARSHAMN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46236</v>
      </c>
      <c r="F217" t="inlineStr">
        <is>
          <t>KALMAR LÄN</t>
        </is>
      </c>
      <c r="G217" t="inlineStr">
        <is>
          <t>OSKARSHAMN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46236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46236</v>
      </c>
      <c r="F219" t="inlineStr">
        <is>
          <t>KALMAR LÄN</t>
        </is>
      </c>
      <c r="G219" t="inlineStr">
        <is>
          <t>OSKARSHAMN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42693-2025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46236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46236</v>
      </c>
      <c r="F221" t="inlineStr">
        <is>
          <t>KALMAR LÄN</t>
        </is>
      </c>
      <c r="G221" t="inlineStr">
        <is>
          <t>OSKARSHAMN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46236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53024-2021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44467</v>
      </c>
      <c r="E223" s="1" t="n">
        <v>46236</v>
      </c>
      <c r="F223" t="inlineStr">
        <is>
          <t>KALMAR LÄN</t>
        </is>
      </c>
      <c r="G223" t="inlineStr">
        <is>
          <t>OSKARSHAMN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46236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46236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46236</v>
      </c>
      <c r="F226" t="inlineStr">
        <is>
          <t>KALMAR LÄN</t>
        </is>
      </c>
      <c r="G226" t="inlineStr">
        <is>
          <t>OSKARSHAMN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46236</v>
      </c>
      <c r="F227" t="inlineStr">
        <is>
          <t>KALMAR LÄN</t>
        </is>
      </c>
      <c r="G227" t="inlineStr">
        <is>
          <t>OSKARSHAMN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46236</v>
      </c>
      <c r="F228" t="inlineStr">
        <is>
          <t>KALMAR LÄN</t>
        </is>
      </c>
      <c r="G228" t="inlineStr">
        <is>
          <t>OSKARSHAMN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46236</v>
      </c>
      <c r="F229" t="inlineStr">
        <is>
          <t>KALMAR LÄN</t>
        </is>
      </c>
      <c r="G229" t="inlineStr">
        <is>
          <t>OSKARSHAMN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46236</v>
      </c>
      <c r="F230" t="inlineStr">
        <is>
          <t>KALMAR LÄN</t>
        </is>
      </c>
      <c r="G230" t="inlineStr">
        <is>
          <t>OSKARSHAMN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46236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46236</v>
      </c>
      <c r="F232" t="inlineStr">
        <is>
          <t>KALMAR LÄN</t>
        </is>
      </c>
      <c r="G232" t="inlineStr">
        <is>
          <t>OSKARSHAMN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46236</v>
      </c>
      <c r="F233" t="inlineStr">
        <is>
          <t>KALMAR LÄN</t>
        </is>
      </c>
      <c r="G233" t="inlineStr">
        <is>
          <t>OSKARSHAMN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46236</v>
      </c>
      <c r="F234" t="inlineStr">
        <is>
          <t>KALMAR LÄN</t>
        </is>
      </c>
      <c r="G234" t="inlineStr">
        <is>
          <t>OSKARSHAMN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44713</v>
      </c>
      <c r="E235" s="1" t="n">
        <v>46236</v>
      </c>
      <c r="F235" t="inlineStr">
        <is>
          <t>KALMAR LÄN</t>
        </is>
      </c>
      <c r="G235" t="inlineStr">
        <is>
          <t>OSKARSHAMN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46236</v>
      </c>
      <c r="F236" t="inlineStr">
        <is>
          <t>KALMAR LÄN</t>
        </is>
      </c>
      <c r="G236" t="inlineStr">
        <is>
          <t>OSKARSHAMN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46236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46236</v>
      </c>
      <c r="F238" t="inlineStr">
        <is>
          <t>KALMAR LÄN</t>
        </is>
      </c>
      <c r="G238" t="inlineStr">
        <is>
          <t>OSKARSHAMN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50572-2024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45601</v>
      </c>
      <c r="E239" s="1" t="n">
        <v>46236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46236</v>
      </c>
      <c r="F240" t="inlineStr">
        <is>
          <t>KALMAR LÄN</t>
        </is>
      </c>
      <c r="G240" t="inlineStr">
        <is>
          <t>OSKARSHAMN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46236</v>
      </c>
      <c r="F241" t="inlineStr">
        <is>
          <t>KALMAR LÄN</t>
        </is>
      </c>
      <c r="G241" t="inlineStr">
        <is>
          <t>OSKARSHAMN</t>
        </is>
      </c>
      <c r="H241" t="inlineStr">
        <is>
          <t>Övriga Aktiebolag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46141</v>
      </c>
      <c r="E242" s="1" t="n">
        <v>46236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46236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46236</v>
      </c>
      <c r="F244" t="inlineStr">
        <is>
          <t>KALMAR LÄN</t>
        </is>
      </c>
      <c r="G244" t="inlineStr">
        <is>
          <t>OSKARSHAMN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46236</v>
      </c>
      <c r="F245" t="inlineStr">
        <is>
          <t>KALMAR LÄN</t>
        </is>
      </c>
      <c r="G245" t="inlineStr">
        <is>
          <t>OSKARSHAMN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46236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46236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45022</v>
      </c>
      <c r="E248" s="1" t="n">
        <v>46236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46236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46236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46236</v>
      </c>
      <c r="F251" t="inlineStr">
        <is>
          <t>KALMAR LÄN</t>
        </is>
      </c>
      <c r="G251" t="inlineStr">
        <is>
          <t>OSKARSHAMN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46236</v>
      </c>
      <c r="F252" t="inlineStr">
        <is>
          <t>KALMAR LÄN</t>
        </is>
      </c>
      <c r="G252" t="inlineStr">
        <is>
          <t>OSKARSHAMN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46236</v>
      </c>
      <c r="F253" t="inlineStr">
        <is>
          <t>KALMAR LÄN</t>
        </is>
      </c>
      <c r="G253" t="inlineStr">
        <is>
          <t>OSKARSHAMN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46236</v>
      </c>
      <c r="F254" t="inlineStr">
        <is>
          <t>KALMAR LÄN</t>
        </is>
      </c>
      <c r="G254" t="inlineStr">
        <is>
          <t>OSKARSHAMN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46236</v>
      </c>
      <c r="F255" t="inlineStr">
        <is>
          <t>KALMAR LÄN</t>
        </is>
      </c>
      <c r="G255" t="inlineStr">
        <is>
          <t>OSKARSHAMN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46236</v>
      </c>
      <c r="F256" t="inlineStr">
        <is>
          <t>KALMAR LÄN</t>
        </is>
      </c>
      <c r="G256" t="inlineStr">
        <is>
          <t>OSKARSHAMN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46236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46236</v>
      </c>
      <c r="F258" t="inlineStr">
        <is>
          <t>KALMAR LÄN</t>
        </is>
      </c>
      <c r="G258" t="inlineStr">
        <is>
          <t>OSKARSHAMN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46236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46236</v>
      </c>
      <c r="F260" t="inlineStr">
        <is>
          <t>KALMAR LÄN</t>
        </is>
      </c>
      <c r="G260" t="inlineStr">
        <is>
          <t>OSKARSHAMN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46236</v>
      </c>
      <c r="F261" t="inlineStr">
        <is>
          <t>KALMAR LÄN</t>
        </is>
      </c>
      <c r="G261" t="inlineStr">
        <is>
          <t>OSKARSHAMN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46236</v>
      </c>
      <c r="F262" t="inlineStr">
        <is>
          <t>KALMAR LÄN</t>
        </is>
      </c>
      <c r="G262" t="inlineStr">
        <is>
          <t>OSKARSHAMN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46236</v>
      </c>
      <c r="F263" t="inlineStr">
        <is>
          <t>KALMAR LÄN</t>
        </is>
      </c>
      <c r="G263" t="inlineStr">
        <is>
          <t>OSKARSHAMN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46236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46236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46236</v>
      </c>
      <c r="F266" t="inlineStr">
        <is>
          <t>KALMAR LÄN</t>
        </is>
      </c>
      <c r="G266" t="inlineStr">
        <is>
          <t>OSKARSHAMN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46236</v>
      </c>
      <c r="F267" t="inlineStr">
        <is>
          <t>KALMAR LÄN</t>
        </is>
      </c>
      <c r="G267" t="inlineStr">
        <is>
          <t>OSKARSHAMN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46236</v>
      </c>
      <c r="F268" t="inlineStr">
        <is>
          <t>KALMAR LÄN</t>
        </is>
      </c>
      <c r="G268" t="inlineStr">
        <is>
          <t>OSKARSHAMN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46236</v>
      </c>
      <c r="F269" t="inlineStr">
        <is>
          <t>KALMAR LÄN</t>
        </is>
      </c>
      <c r="G269" t="inlineStr">
        <is>
          <t>OSKARSHAMN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46236</v>
      </c>
      <c r="F270" t="inlineStr">
        <is>
          <t>KALMAR LÄN</t>
        </is>
      </c>
      <c r="G270" t="inlineStr">
        <is>
          <t>OSKARSHAMN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46236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46236</v>
      </c>
      <c r="F272" t="inlineStr">
        <is>
          <t>KALMAR LÄN</t>
        </is>
      </c>
      <c r="G272" t="inlineStr">
        <is>
          <t>OSKARSHAMN</t>
        </is>
      </c>
      <c r="H272" t="inlineStr">
        <is>
          <t>Kommuner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44621</v>
      </c>
      <c r="E273" s="1" t="n">
        <v>46236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46236</v>
      </c>
      <c r="F274" t="inlineStr">
        <is>
          <t>KALMAR LÄN</t>
        </is>
      </c>
      <c r="G274" t="inlineStr">
        <is>
          <t>OSKARSHAMN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46236</v>
      </c>
      <c r="F275" t="inlineStr">
        <is>
          <t>KALMAR LÄN</t>
        </is>
      </c>
      <c r="G275" t="inlineStr">
        <is>
          <t>OSKARSHAMN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46236</v>
      </c>
      <c r="F276" t="inlineStr">
        <is>
          <t>KALMAR LÄN</t>
        </is>
      </c>
      <c r="G276" t="inlineStr">
        <is>
          <t>OSKARSHAMN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44963</v>
      </c>
      <c r="E277" s="1" t="n">
        <v>46236</v>
      </c>
      <c r="F277" t="inlineStr">
        <is>
          <t>KALMAR LÄN</t>
        </is>
      </c>
      <c r="G277" t="inlineStr">
        <is>
          <t>OSKARSHAMN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46236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46236</v>
      </c>
      <c r="F279" t="inlineStr">
        <is>
          <t>KALMAR LÄN</t>
        </is>
      </c>
      <c r="G279" t="inlineStr">
        <is>
          <t>OSKARSHAMN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46236</v>
      </c>
      <c r="F280" t="inlineStr">
        <is>
          <t>KALMAR LÄN</t>
        </is>
      </c>
      <c r="G280" t="inlineStr">
        <is>
          <t>OSKARSHAMN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46236</v>
      </c>
      <c r="F281" t="inlineStr">
        <is>
          <t>KALMAR LÄN</t>
        </is>
      </c>
      <c r="G281" t="inlineStr">
        <is>
          <t>OSKARSHAMN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46236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44564</v>
      </c>
      <c r="E283" s="1" t="n">
        <v>46236</v>
      </c>
      <c r="F283" t="inlineStr">
        <is>
          <t>KALMAR LÄN</t>
        </is>
      </c>
      <c r="G283" t="inlineStr">
        <is>
          <t>OSKARSHAMN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46236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46236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13729-2023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46236</v>
      </c>
      <c r="F286" t="inlineStr">
        <is>
          <t>KALMAR LÄN</t>
        </is>
      </c>
      <c r="G286" t="inlineStr">
        <is>
          <t>OSKARSHAMN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57483-2021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44483</v>
      </c>
      <c r="E287" s="1" t="n">
        <v>46236</v>
      </c>
      <c r="F287" t="inlineStr">
        <is>
          <t>KALMAR LÄN</t>
        </is>
      </c>
      <c r="G287" t="inlineStr">
        <is>
          <t>OSKARSHAMN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46236</v>
      </c>
      <c r="F288" t="inlineStr">
        <is>
          <t>KALMAR LÄN</t>
        </is>
      </c>
      <c r="G288" t="inlineStr">
        <is>
          <t>OSKARSHAMN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46236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46236</v>
      </c>
      <c r="F290" t="inlineStr">
        <is>
          <t>KALMAR LÄN</t>
        </is>
      </c>
      <c r="G290" t="inlineStr">
        <is>
          <t>OSKARSHAMN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46236</v>
      </c>
      <c r="F291" t="inlineStr">
        <is>
          <t>KALMAR LÄN</t>
        </is>
      </c>
      <c r="G291" t="inlineStr">
        <is>
          <t>OSKARSHAMN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46236</v>
      </c>
      <c r="F292" t="inlineStr">
        <is>
          <t>KALMAR LÄN</t>
        </is>
      </c>
      <c r="G292" t="inlineStr">
        <is>
          <t>OSKARSHAMN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46236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44978</v>
      </c>
      <c r="E294" s="1" t="n">
        <v>46236</v>
      </c>
      <c r="F294" t="inlineStr">
        <is>
          <t>KALMAR LÄN</t>
        </is>
      </c>
      <c r="G294" t="inlineStr">
        <is>
          <t>OSKARSHAMN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46236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46236</v>
      </c>
      <c r="F296" t="inlineStr">
        <is>
          <t>KALMAR LÄN</t>
        </is>
      </c>
      <c r="G296" t="inlineStr">
        <is>
          <t>OSKARSHAMN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8656-2022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44613</v>
      </c>
      <c r="E297" s="1" t="n">
        <v>46236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46236</v>
      </c>
      <c r="F298" t="inlineStr">
        <is>
          <t>KALMAR LÄN</t>
        </is>
      </c>
      <c r="G298" t="inlineStr">
        <is>
          <t>OSKARSHAMN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46236</v>
      </c>
      <c r="F299" t="inlineStr">
        <is>
          <t>KALMAR LÄN</t>
        </is>
      </c>
      <c r="G299" t="inlineStr">
        <is>
          <t>OSKARSHAMN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46236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46236</v>
      </c>
      <c r="F301" t="inlineStr">
        <is>
          <t>KALMAR LÄN</t>
        </is>
      </c>
      <c r="G301" t="inlineStr">
        <is>
          <t>OSKARSHAMN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46236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45531</v>
      </c>
      <c r="E303" s="1" t="n">
        <v>46236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45212</v>
      </c>
      <c r="E304" s="1" t="n">
        <v>46236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46236</v>
      </c>
      <c r="F305" t="inlineStr">
        <is>
          <t>KALMAR LÄN</t>
        </is>
      </c>
      <c r="G305" t="inlineStr">
        <is>
          <t>OSKARSHAMN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46236</v>
      </c>
      <c r="F306" t="inlineStr">
        <is>
          <t>KALMAR LÄN</t>
        </is>
      </c>
      <c r="G306" t="inlineStr">
        <is>
          <t>OSKARSHAMN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46236</v>
      </c>
      <c r="F307" t="inlineStr">
        <is>
          <t>KALMAR LÄN</t>
        </is>
      </c>
      <c r="G307" t="inlineStr">
        <is>
          <t>OSKARSHAMN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46236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44951</v>
      </c>
      <c r="E309" s="1" t="n">
        <v>46236</v>
      </c>
      <c r="F309" t="inlineStr">
        <is>
          <t>KALMAR LÄN</t>
        </is>
      </c>
      <c r="G309" t="inlineStr">
        <is>
          <t>OSKARSHAMN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46236</v>
      </c>
      <c r="F310" t="inlineStr">
        <is>
          <t>KALMAR LÄN</t>
        </is>
      </c>
      <c r="G310" t="inlineStr">
        <is>
          <t>OSKARSHAMN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46236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55569-2024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45621</v>
      </c>
      <c r="E312" s="1" t="n">
        <v>46236</v>
      </c>
      <c r="F312" t="inlineStr">
        <is>
          <t>KALMAR LÄN</t>
        </is>
      </c>
      <c r="G312" t="inlineStr">
        <is>
          <t>OSKARSHAMN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46236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46236</v>
      </c>
      <c r="F314" t="inlineStr">
        <is>
          <t>KALMAR LÄN</t>
        </is>
      </c>
      <c r="G314" t="inlineStr">
        <is>
          <t>OSKARSHAMN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45625</v>
      </c>
      <c r="E315" s="1" t="n">
        <v>46236</v>
      </c>
      <c r="F315" t="inlineStr">
        <is>
          <t>KALMAR LÄN</t>
        </is>
      </c>
      <c r="G315" t="inlineStr">
        <is>
          <t>OSKARSHAMN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46236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46236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46236</v>
      </c>
      <c r="F318" t="inlineStr">
        <is>
          <t>KALMAR LÄN</t>
        </is>
      </c>
      <c r="G318" t="inlineStr">
        <is>
          <t>OSKARSHAMN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15754-2022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44663</v>
      </c>
      <c r="E319" s="1" t="n">
        <v>46236</v>
      </c>
      <c r="F319" t="inlineStr">
        <is>
          <t>KALMAR LÄN</t>
        </is>
      </c>
      <c r="G319" t="inlineStr">
        <is>
          <t>OSKARSHAMN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46236</v>
      </c>
      <c r="F320" t="inlineStr">
        <is>
          <t>KALMAR LÄN</t>
        </is>
      </c>
      <c r="G320" t="inlineStr">
        <is>
          <t>OSKARSHAMN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46236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44818</v>
      </c>
      <c r="E322" s="1" t="n">
        <v>46236</v>
      </c>
      <c r="F322" t="inlineStr">
        <is>
          <t>KALMAR LÄN</t>
        </is>
      </c>
      <c r="G322" t="inlineStr">
        <is>
          <t>OSKARSHAMN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45323</v>
      </c>
      <c r="E323" s="1" t="n">
        <v>46236</v>
      </c>
      <c r="F323" t="inlineStr">
        <is>
          <t>KALMAR LÄN</t>
        </is>
      </c>
      <c r="G323" t="inlineStr">
        <is>
          <t>OSKARSHAMN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46236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46236</v>
      </c>
      <c r="F325" t="inlineStr">
        <is>
          <t>KALMAR LÄN</t>
        </is>
      </c>
      <c r="G325" t="inlineStr">
        <is>
          <t>OSKARSHAMN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46236</v>
      </c>
      <c r="F326" t="inlineStr">
        <is>
          <t>KALMAR LÄN</t>
        </is>
      </c>
      <c r="G326" t="inlineStr">
        <is>
          <t>OSKARSHAMN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46236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46236</v>
      </c>
      <c r="F328" t="inlineStr">
        <is>
          <t>KALMAR LÄN</t>
        </is>
      </c>
      <c r="G328" t="inlineStr">
        <is>
          <t>OSKARSHAMN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46236</v>
      </c>
      <c r="F329" t="inlineStr">
        <is>
          <t>KALMAR LÄN</t>
        </is>
      </c>
      <c r="G329" t="inlineStr">
        <is>
          <t>OSKARSHAMN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46236</v>
      </c>
      <c r="F330" t="inlineStr">
        <is>
          <t>KALMAR LÄN</t>
        </is>
      </c>
      <c r="G330" t="inlineStr">
        <is>
          <t>OSKARSHAMN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46236</v>
      </c>
      <c r="F331" t="inlineStr">
        <is>
          <t>KALMAR LÄN</t>
        </is>
      </c>
      <c r="G331" t="inlineStr">
        <is>
          <t>OSKARSHAMN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46236</v>
      </c>
      <c r="F332" t="inlineStr">
        <is>
          <t>KALMAR LÄN</t>
        </is>
      </c>
      <c r="G332" t="inlineStr">
        <is>
          <t>OSKARSHAMN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46236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46236</v>
      </c>
      <c r="F334" t="inlineStr">
        <is>
          <t>KALMAR LÄN</t>
        </is>
      </c>
      <c r="G334" t="inlineStr">
        <is>
          <t>OSKARSHAMN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46236</v>
      </c>
      <c r="F335" t="inlineStr">
        <is>
          <t>KALMAR LÄN</t>
        </is>
      </c>
      <c r="G335" t="inlineStr">
        <is>
          <t>OSKARSHAMN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46236</v>
      </c>
      <c r="F336" t="inlineStr">
        <is>
          <t>KALMAR LÄN</t>
        </is>
      </c>
      <c r="G336" t="inlineStr">
        <is>
          <t>OSKARSHAMN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29619-2026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46199</v>
      </c>
      <c r="E337" s="1" t="n">
        <v>46236</v>
      </c>
      <c r="F337" t="inlineStr">
        <is>
          <t>KALMAR LÄN</t>
        </is>
      </c>
      <c r="G337" t="inlineStr">
        <is>
          <t>OSKARSHAMN</t>
        </is>
      </c>
      <c r="H337" t="inlineStr">
        <is>
          <t>Kommuner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46236</v>
      </c>
      <c r="F338" t="inlineStr">
        <is>
          <t>KALMAR LÄN</t>
        </is>
      </c>
      <c r="G338" t="inlineStr">
        <is>
          <t>OSKARSHAMN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46236</v>
      </c>
      <c r="F339" t="inlineStr">
        <is>
          <t>KALMAR LÄN</t>
        </is>
      </c>
      <c r="G339" t="inlineStr">
        <is>
          <t>OSKARSHAMN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46236</v>
      </c>
      <c r="F340" t="inlineStr">
        <is>
          <t>KALMAR LÄN</t>
        </is>
      </c>
      <c r="G340" t="inlineStr">
        <is>
          <t>OSKARSHAMN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46236</v>
      </c>
      <c r="F341" t="inlineStr">
        <is>
          <t>KALMAR LÄN</t>
        </is>
      </c>
      <c r="G341" t="inlineStr">
        <is>
          <t>OSKARSHAMN</t>
        </is>
      </c>
      <c r="I341" t="n">
        <v>15.3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46236</v>
      </c>
      <c r="F342" t="inlineStr">
        <is>
          <t>KALMAR LÄN</t>
        </is>
      </c>
      <c r="G342" t="inlineStr">
        <is>
          <t>OSKARSHAMN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46236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46236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46236</v>
      </c>
      <c r="F345" t="inlineStr">
        <is>
          <t>KALMAR LÄN</t>
        </is>
      </c>
      <c r="G345" t="inlineStr">
        <is>
          <t>OSKARSHAMN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46236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46236</v>
      </c>
      <c r="F347" t="inlineStr">
        <is>
          <t>KALMAR LÄN</t>
        </is>
      </c>
      <c r="G347" t="inlineStr">
        <is>
          <t>OSKARSHAMN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46236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46236</v>
      </c>
      <c r="F349" t="inlineStr">
        <is>
          <t>KALMAR LÄN</t>
        </is>
      </c>
      <c r="G349" t="inlineStr">
        <is>
          <t>OSKARSHAMN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46236</v>
      </c>
      <c r="F350" t="inlineStr">
        <is>
          <t>KALMAR LÄN</t>
        </is>
      </c>
      <c r="G350" t="inlineStr">
        <is>
          <t>OSKARSHAMN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46236</v>
      </c>
      <c r="F351" t="inlineStr">
        <is>
          <t>KALMAR LÄN</t>
        </is>
      </c>
      <c r="G351" t="inlineStr">
        <is>
          <t>OSKARSHAMN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45056</v>
      </c>
      <c r="E352" s="1" t="n">
        <v>46236</v>
      </c>
      <c r="F352" t="inlineStr">
        <is>
          <t>KALMAR LÄN</t>
        </is>
      </c>
      <c r="G352" t="inlineStr">
        <is>
          <t>OSKARSHAMN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46236</v>
      </c>
      <c r="F353" t="inlineStr">
        <is>
          <t>KALMAR LÄN</t>
        </is>
      </c>
      <c r="G353" t="inlineStr">
        <is>
          <t>OSKARSHAMN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46236</v>
      </c>
      <c r="F354" t="inlineStr">
        <is>
          <t>KALMAR LÄN</t>
        </is>
      </c>
      <c r="G354" t="inlineStr">
        <is>
          <t>OSKARSHAMN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46236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46236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46236</v>
      </c>
      <c r="F357" t="inlineStr">
        <is>
          <t>KALMAR LÄN</t>
        </is>
      </c>
      <c r="G357" t="inlineStr">
        <is>
          <t>OSKARSHAMN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46236</v>
      </c>
      <c r="F358" t="inlineStr">
        <is>
          <t>KALMAR LÄN</t>
        </is>
      </c>
      <c r="G358" t="inlineStr">
        <is>
          <t>OSKARSHAMN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46236</v>
      </c>
      <c r="F359" t="inlineStr">
        <is>
          <t>KALMAR LÄN</t>
        </is>
      </c>
      <c r="G359" t="inlineStr">
        <is>
          <t>OSKARSHAMN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46236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46236</v>
      </c>
      <c r="F361" t="inlineStr">
        <is>
          <t>KALMAR LÄN</t>
        </is>
      </c>
      <c r="G361" t="inlineStr">
        <is>
          <t>OSKARSHAMN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46236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46236</v>
      </c>
      <c r="F363" t="inlineStr">
        <is>
          <t>KALMAR LÄN</t>
        </is>
      </c>
      <c r="G363" t="inlineStr">
        <is>
          <t>OSKARSHAMN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48582-2021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44452</v>
      </c>
      <c r="E364" s="1" t="n">
        <v>46236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46236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46236</v>
      </c>
      <c r="F366" t="inlineStr">
        <is>
          <t>KALMAR LÄN</t>
        </is>
      </c>
      <c r="G366" t="inlineStr">
        <is>
          <t>OSKARSHAMN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46236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46236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46236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44836</v>
      </c>
      <c r="E370" s="1" t="n">
        <v>46236</v>
      </c>
      <c r="F370" t="inlineStr">
        <is>
          <t>KALMAR LÄN</t>
        </is>
      </c>
      <c r="G370" t="inlineStr">
        <is>
          <t>OSKARSHAMN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44977</v>
      </c>
      <c r="E371" s="1" t="n">
        <v>46236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46236</v>
      </c>
      <c r="F372" t="inlineStr">
        <is>
          <t>KALMAR LÄN</t>
        </is>
      </c>
      <c r="G372" t="inlineStr">
        <is>
          <t>OSKARSHAMN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46236</v>
      </c>
      <c r="F373" t="inlineStr">
        <is>
          <t>KALMAR LÄN</t>
        </is>
      </c>
      <c r="G373" t="inlineStr">
        <is>
          <t>OSKARSHAMN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61318-2022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46236</v>
      </c>
      <c r="F374" t="inlineStr">
        <is>
          <t>KALMAR LÄN</t>
        </is>
      </c>
      <c r="G374" t="inlineStr">
        <is>
          <t>OSKARSHAMN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46236</v>
      </c>
      <c r="F375" t="inlineStr">
        <is>
          <t>KALMAR LÄN</t>
        </is>
      </c>
      <c r="G375" t="inlineStr">
        <is>
          <t>OSKARSHAMN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46236</v>
      </c>
      <c r="F376" t="inlineStr">
        <is>
          <t>KALMAR LÄN</t>
        </is>
      </c>
      <c r="G376" t="inlineStr">
        <is>
          <t>OSKARSHAMN</t>
        </is>
      </c>
      <c r="I376" t="n">
        <v>13.6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46236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46236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46236</v>
      </c>
      <c r="F379" t="inlineStr">
        <is>
          <t>KALMAR LÄN</t>
        </is>
      </c>
      <c r="G379" t="inlineStr">
        <is>
          <t>OSKARSHAMN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46236</v>
      </c>
      <c r="F380" t="inlineStr">
        <is>
          <t>KALMAR LÄN</t>
        </is>
      </c>
      <c r="G380" t="inlineStr">
        <is>
          <t>OSKARSHAMN</t>
        </is>
      </c>
      <c r="I380" t="n">
        <v>10.7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46236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46236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45369</v>
      </c>
      <c r="E383" s="1" t="n">
        <v>46236</v>
      </c>
      <c r="F383" t="inlineStr">
        <is>
          <t>KALMAR LÄN</t>
        </is>
      </c>
      <c r="G383" t="inlineStr">
        <is>
          <t>OSKARSHAMN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46236</v>
      </c>
      <c r="F384" t="inlineStr">
        <is>
          <t>KALMAR LÄN</t>
        </is>
      </c>
      <c r="G384" t="inlineStr">
        <is>
          <t>OSKARSHAMN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45218</v>
      </c>
      <c r="E385" s="1" t="n">
        <v>46236</v>
      </c>
      <c r="F385" t="inlineStr">
        <is>
          <t>KALMAR LÄN</t>
        </is>
      </c>
      <c r="G385" t="inlineStr">
        <is>
          <t>OSKARSHAMN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46236</v>
      </c>
      <c r="F386" t="inlineStr">
        <is>
          <t>KALMAR LÄN</t>
        </is>
      </c>
      <c r="G386" t="inlineStr">
        <is>
          <t>OSKARSHAMN</t>
        </is>
      </c>
      <c r="H386" t="inlineStr">
        <is>
          <t>Kommuner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46236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44755</v>
      </c>
      <c r="E388" s="1" t="n">
        <v>46236</v>
      </c>
      <c r="F388" t="inlineStr">
        <is>
          <t>KALMAR LÄN</t>
        </is>
      </c>
      <c r="G388" t="inlineStr">
        <is>
          <t>OSKARSHAMN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46236</v>
      </c>
      <c r="F389" t="inlineStr">
        <is>
          <t>KALMAR LÄN</t>
        </is>
      </c>
      <c r="G389" t="inlineStr">
        <is>
          <t>OSKARSHAMN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46236</v>
      </c>
      <c r="F390" t="inlineStr">
        <is>
          <t>KALMAR LÄN</t>
        </is>
      </c>
      <c r="G390" t="inlineStr">
        <is>
          <t>OSKARSHAMN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46236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46236</v>
      </c>
      <c r="F392" t="inlineStr">
        <is>
          <t>KALMAR LÄN</t>
        </is>
      </c>
      <c r="G392" t="inlineStr">
        <is>
          <t>OSKARSHAMN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46236</v>
      </c>
      <c r="F393" t="inlineStr">
        <is>
          <t>KALMAR LÄN</t>
        </is>
      </c>
      <c r="G393" t="inlineStr">
        <is>
          <t>OSKARSHAMN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59075-2021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46236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46236</v>
      </c>
      <c r="F395" t="inlineStr">
        <is>
          <t>KALMAR LÄN</t>
        </is>
      </c>
      <c r="G395" t="inlineStr">
        <is>
          <t>OSKARSHAMN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45280</v>
      </c>
      <c r="E396" s="1" t="n">
        <v>46236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46236</v>
      </c>
      <c r="F397" t="inlineStr">
        <is>
          <t>KALMAR LÄN</t>
        </is>
      </c>
      <c r="G397" t="inlineStr">
        <is>
          <t>OSKARSHAMN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46236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45391</v>
      </c>
      <c r="E399" s="1" t="n">
        <v>46236</v>
      </c>
      <c r="F399" t="inlineStr">
        <is>
          <t>KALMAR LÄN</t>
        </is>
      </c>
      <c r="G399" t="inlineStr">
        <is>
          <t>OSKARSHAMN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46236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46236</v>
      </c>
      <c r="F401" t="inlineStr">
        <is>
          <t>KALMAR LÄN</t>
        </is>
      </c>
      <c r="G401" t="inlineStr">
        <is>
          <t>OSKARSHAMN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46236</v>
      </c>
      <c r="F402" t="inlineStr">
        <is>
          <t>KALMAR LÄN</t>
        </is>
      </c>
      <c r="G402" t="inlineStr">
        <is>
          <t>OSKARSHAMN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45379</v>
      </c>
      <c r="E403" s="1" t="n">
        <v>46236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44664</v>
      </c>
      <c r="E404" s="1" t="n">
        <v>46236</v>
      </c>
      <c r="F404" t="inlineStr">
        <is>
          <t>KALMAR LÄN</t>
        </is>
      </c>
      <c r="G404" t="inlineStr">
        <is>
          <t>OSKARSHAMN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45147</v>
      </c>
      <c r="E405" s="1" t="n">
        <v>46236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46236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46236</v>
      </c>
      <c r="F407" t="inlineStr">
        <is>
          <t>KALMAR LÄN</t>
        </is>
      </c>
      <c r="G407" t="inlineStr">
        <is>
          <t>OSKARSHAMN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46236</v>
      </c>
      <c r="F408" t="inlineStr">
        <is>
          <t>KALMAR LÄN</t>
        </is>
      </c>
      <c r="G408" t="inlineStr">
        <is>
          <t>OSKARSHAMN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46236</v>
      </c>
      <c r="F409" t="inlineStr">
        <is>
          <t>KALMAR LÄN</t>
        </is>
      </c>
      <c r="G409" t="inlineStr">
        <is>
          <t>OSKARSHAMN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45580</v>
      </c>
      <c r="E410" s="1" t="n">
        <v>46236</v>
      </c>
      <c r="F410" t="inlineStr">
        <is>
          <t>KALMAR LÄN</t>
        </is>
      </c>
      <c r="G410" t="inlineStr">
        <is>
          <t>OSKARSHAMN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46236</v>
      </c>
      <c r="F411" t="inlineStr">
        <is>
          <t>KALMAR LÄN</t>
        </is>
      </c>
      <c r="G411" t="inlineStr">
        <is>
          <t>OSKARSHAMN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46236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45314</v>
      </c>
      <c r="E413" s="1" t="n">
        <v>46236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71340-2021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44539</v>
      </c>
      <c r="E414" s="1" t="n">
        <v>46236</v>
      </c>
      <c r="F414" t="inlineStr">
        <is>
          <t>KALMAR LÄN</t>
        </is>
      </c>
      <c r="G414" t="inlineStr">
        <is>
          <t>OSKARSHAMN</t>
        </is>
      </c>
      <c r="H414" t="inlineStr">
        <is>
          <t>Sveaskog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44711</v>
      </c>
      <c r="E415" s="1" t="n">
        <v>46236</v>
      </c>
      <c r="F415" t="inlineStr">
        <is>
          <t>KALMAR LÄN</t>
        </is>
      </c>
      <c r="G415" t="inlineStr">
        <is>
          <t>OSKARSHAMN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44995</v>
      </c>
      <c r="E416" s="1" t="n">
        <v>46236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44995</v>
      </c>
      <c r="E417" s="1" t="n">
        <v>46236</v>
      </c>
      <c r="F417" t="inlineStr">
        <is>
          <t>KALMAR LÄN</t>
        </is>
      </c>
      <c r="G417" t="inlineStr">
        <is>
          <t>OSKARSHAMN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46236</v>
      </c>
      <c r="F418" t="inlineStr">
        <is>
          <t>KALMAR LÄN</t>
        </is>
      </c>
      <c r="G418" t="inlineStr">
        <is>
          <t>OSKARSHAMN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72786-2021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46236</v>
      </c>
      <c r="F419" t="inlineStr">
        <is>
          <t>KALMAR LÄN</t>
        </is>
      </c>
      <c r="G419" t="inlineStr">
        <is>
          <t>OSKARSHAMN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46236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46236</v>
      </c>
      <c r="F421" t="inlineStr">
        <is>
          <t>KALMAR LÄN</t>
        </is>
      </c>
      <c r="G421" t="inlineStr">
        <is>
          <t>OSKARSHAMN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46236</v>
      </c>
      <c r="F422" t="inlineStr">
        <is>
          <t>KALMAR LÄN</t>
        </is>
      </c>
      <c r="G422" t="inlineStr">
        <is>
          <t>OSKARSHAMN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46236</v>
      </c>
      <c r="F423" t="inlineStr">
        <is>
          <t>KALMAR LÄN</t>
        </is>
      </c>
      <c r="G423" t="inlineStr">
        <is>
          <t>OSKARSHAMN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44965</v>
      </c>
      <c r="E424" s="1" t="n">
        <v>46236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46236</v>
      </c>
      <c r="F425" t="inlineStr">
        <is>
          <t>KALMAR LÄN</t>
        </is>
      </c>
      <c r="G425" t="inlineStr">
        <is>
          <t>OSKARSHAMN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46236</v>
      </c>
      <c r="F426" t="inlineStr">
        <is>
          <t>KALMAR LÄN</t>
        </is>
      </c>
      <c r="G426" t="inlineStr">
        <is>
          <t>OSKARSHAMN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46049</v>
      </c>
      <c r="E427" s="1" t="n">
        <v>46236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46236</v>
      </c>
      <c r="F428" t="inlineStr">
        <is>
          <t>KALMAR LÄN</t>
        </is>
      </c>
      <c r="G428" t="inlineStr">
        <is>
          <t>OSKARSHAMN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46236</v>
      </c>
      <c r="F429" t="inlineStr">
        <is>
          <t>KALMAR LÄN</t>
        </is>
      </c>
      <c r="G429" t="inlineStr">
        <is>
          <t>OSKARSHAMN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46236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46236</v>
      </c>
      <c r="F431" t="inlineStr">
        <is>
          <t>KALMAR LÄN</t>
        </is>
      </c>
      <c r="G431" t="inlineStr">
        <is>
          <t>OSKARSHAMN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46236</v>
      </c>
      <c r="F432" t="inlineStr">
        <is>
          <t>KALMAR LÄN</t>
        </is>
      </c>
      <c r="G432" t="inlineStr">
        <is>
          <t>OSKARSHAMN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46236</v>
      </c>
      <c r="F433" t="inlineStr">
        <is>
          <t>KALMAR LÄN</t>
        </is>
      </c>
      <c r="G433" t="inlineStr">
        <is>
          <t>OSKARSHAMN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46236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44621</v>
      </c>
      <c r="E435" s="1" t="n">
        <v>46236</v>
      </c>
      <c r="F435" t="inlineStr">
        <is>
          <t>KALMAR LÄN</t>
        </is>
      </c>
      <c r="G435" t="inlineStr">
        <is>
          <t>OSKARSHAMN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46009</v>
      </c>
      <c r="E436" s="1" t="n">
        <v>46236</v>
      </c>
      <c r="F436" t="inlineStr">
        <is>
          <t>KALMAR LÄN</t>
        </is>
      </c>
      <c r="G436" t="inlineStr">
        <is>
          <t>OSKARSHAMN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46236</v>
      </c>
      <c r="F437" t="inlineStr">
        <is>
          <t>KALMAR LÄN</t>
        </is>
      </c>
      <c r="G437" t="inlineStr">
        <is>
          <t>OSKARSHAMN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46236</v>
      </c>
      <c r="F438" t="inlineStr">
        <is>
          <t>KALMAR LÄN</t>
        </is>
      </c>
      <c r="G438" t="inlineStr">
        <is>
          <t>OSKARSHAMN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46236</v>
      </c>
      <c r="F439" t="inlineStr">
        <is>
          <t>KALMAR LÄN</t>
        </is>
      </c>
      <c r="G439" t="inlineStr">
        <is>
          <t>OSKARSHAMN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46236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46236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45601</v>
      </c>
      <c r="E442" s="1" t="n">
        <v>46236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46236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46236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46236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59710-2021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44494</v>
      </c>
      <c r="E446" s="1" t="n">
        <v>46236</v>
      </c>
      <c r="F446" t="inlineStr">
        <is>
          <t>KALMAR LÄN</t>
        </is>
      </c>
      <c r="G446" t="inlineStr">
        <is>
          <t>OSKARSHAMN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46236</v>
      </c>
      <c r="F447" t="inlineStr">
        <is>
          <t>KALMAR LÄN</t>
        </is>
      </c>
      <c r="G447" t="inlineStr">
        <is>
          <t>OSKARSHAMN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44573</v>
      </c>
      <c r="E448" s="1" t="n">
        <v>46236</v>
      </c>
      <c r="F448" t="inlineStr">
        <is>
          <t>KALMAR LÄN</t>
        </is>
      </c>
      <c r="G448" t="inlineStr">
        <is>
          <t>OSKARSHAMN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46236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46236</v>
      </c>
      <c r="F450" t="inlineStr">
        <is>
          <t>KALMAR LÄN</t>
        </is>
      </c>
      <c r="G450" t="inlineStr">
        <is>
          <t>OSKARSHAMN</t>
        </is>
      </c>
      <c r="I450" t="n">
        <v>15.3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46236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46236</v>
      </c>
      <c r="F452" t="inlineStr">
        <is>
          <t>KALMAR LÄN</t>
        </is>
      </c>
      <c r="G452" t="inlineStr">
        <is>
          <t>OSKARSHAMN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46236</v>
      </c>
      <c r="F453" t="inlineStr">
        <is>
          <t>KALMAR LÄN</t>
        </is>
      </c>
      <c r="G453" t="inlineStr">
        <is>
          <t>OSKARSHAMN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46236</v>
      </c>
      <c r="F454" t="inlineStr">
        <is>
          <t>KALMAR LÄN</t>
        </is>
      </c>
      <c r="G454" t="inlineStr">
        <is>
          <t>OSKARSHAMN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73404-2021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44551</v>
      </c>
      <c r="E455" s="1" t="n">
        <v>46236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46236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60717-2024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46236</v>
      </c>
      <c r="F457" t="inlineStr">
        <is>
          <t>KALMAR LÄN</t>
        </is>
      </c>
      <c r="G457" t="inlineStr">
        <is>
          <t>OSKARSHAMN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45198</v>
      </c>
      <c r="E458" s="1" t="n">
        <v>46236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46236</v>
      </c>
      <c r="F459" t="inlineStr">
        <is>
          <t>KALMAR LÄN</t>
        </is>
      </c>
      <c r="G459" t="inlineStr">
        <is>
          <t>OSKARSHAMN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46236</v>
      </c>
      <c r="F460" t="inlineStr">
        <is>
          <t>KALMAR LÄN</t>
        </is>
      </c>
      <c r="G460" t="inlineStr">
        <is>
          <t>OSKARSHAMN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30109-2023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45110</v>
      </c>
      <c r="E461" s="1" t="n">
        <v>46236</v>
      </c>
      <c r="F461" t="inlineStr">
        <is>
          <t>KALMAR LÄN</t>
        </is>
      </c>
      <c r="G461" t="inlineStr">
        <is>
          <t>OSKARSHAMN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45567</v>
      </c>
      <c r="E462" s="1" t="n">
        <v>46236</v>
      </c>
      <c r="F462" t="inlineStr">
        <is>
          <t>KALMAR LÄN</t>
        </is>
      </c>
      <c r="G462" t="inlineStr">
        <is>
          <t>OSKARSHAMN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26132-2023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45091</v>
      </c>
      <c r="E463" s="1" t="n">
        <v>46236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72819-2021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44547</v>
      </c>
      <c r="E464" s="1" t="n">
        <v>46236</v>
      </c>
      <c r="F464" t="inlineStr">
        <is>
          <t>KALMAR LÄN</t>
        </is>
      </c>
      <c r="G464" t="inlineStr">
        <is>
          <t>OSKARSHAMN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46236</v>
      </c>
      <c r="F465" t="inlineStr">
        <is>
          <t>KALMAR LÄN</t>
        </is>
      </c>
      <c r="G465" t="inlineStr">
        <is>
          <t>OSKARSHAMN</t>
        </is>
      </c>
      <c r="I465" t="n">
        <v>10.8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46236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46236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46236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46236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44608</v>
      </c>
      <c r="E470" s="1" t="n">
        <v>46236</v>
      </c>
      <c r="F470" t="inlineStr">
        <is>
          <t>KALMAR LÄN</t>
        </is>
      </c>
      <c r="G470" t="inlineStr">
        <is>
          <t>OSKARSHAMN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46236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46236</v>
      </c>
      <c r="F472" t="inlineStr">
        <is>
          <t>KALMAR LÄN</t>
        </is>
      </c>
      <c r="G472" t="inlineStr">
        <is>
          <t>OSKARSHAMN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46236</v>
      </c>
      <c r="F473" t="inlineStr">
        <is>
          <t>KALMAR LÄN</t>
        </is>
      </c>
      <c r="G473" t="inlineStr">
        <is>
          <t>OSKARSHAMN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45207</v>
      </c>
      <c r="E474" s="1" t="n">
        <v>46236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46236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46236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46236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46236</v>
      </c>
      <c r="F478" t="inlineStr">
        <is>
          <t>KALMAR LÄN</t>
        </is>
      </c>
      <c r="G478" t="inlineStr">
        <is>
          <t>OSKARSHAMN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35531-2024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46236</v>
      </c>
      <c r="F479" t="inlineStr">
        <is>
          <t>KALMAR LÄN</t>
        </is>
      </c>
      <c r="G479" t="inlineStr">
        <is>
          <t>OSKARSHAMN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45209</v>
      </c>
      <c r="E480" s="1" t="n">
        <v>46236</v>
      </c>
      <c r="F480" t="inlineStr">
        <is>
          <t>KALMAR LÄN</t>
        </is>
      </c>
      <c r="G480" t="inlineStr">
        <is>
          <t>OSKARSHAMN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45147</v>
      </c>
      <c r="E481" s="1" t="n">
        <v>46236</v>
      </c>
      <c r="F481" t="inlineStr">
        <is>
          <t>KALMAR LÄN</t>
        </is>
      </c>
      <c r="G481" t="inlineStr">
        <is>
          <t>OSKARSHAMN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45036</v>
      </c>
      <c r="E482" s="1" t="n">
        <v>46236</v>
      </c>
      <c r="F482" t="inlineStr">
        <is>
          <t>KALMAR LÄN</t>
        </is>
      </c>
      <c r="G482" t="inlineStr">
        <is>
          <t>OSKARSHAMN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45687</v>
      </c>
      <c r="E483" s="1" t="n">
        <v>46236</v>
      </c>
      <c r="F483" t="inlineStr">
        <is>
          <t>KALMAR LÄN</t>
        </is>
      </c>
      <c r="G483" t="inlineStr">
        <is>
          <t>OSKARSHAMN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45695</v>
      </c>
      <c r="E484" s="1" t="n">
        <v>46236</v>
      </c>
      <c r="F484" t="inlineStr">
        <is>
          <t>KALMAR LÄN</t>
        </is>
      </c>
      <c r="G484" t="inlineStr">
        <is>
          <t>OSKARSHAMN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46236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13204-2024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45386</v>
      </c>
      <c r="E486" s="1" t="n">
        <v>46236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46236</v>
      </c>
      <c r="F487" t="inlineStr">
        <is>
          <t>KALMAR LÄN</t>
        </is>
      </c>
      <c r="G487" t="inlineStr">
        <is>
          <t>OSKARSHAMN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46236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46236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21921-2022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44711</v>
      </c>
      <c r="E490" s="1" t="n">
        <v>46236</v>
      </c>
      <c r="F490" t="inlineStr">
        <is>
          <t>KALMAR LÄN</t>
        </is>
      </c>
      <c r="G490" t="inlineStr">
        <is>
          <t>OSKARSHAMN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46236</v>
      </c>
      <c r="F491" t="inlineStr">
        <is>
          <t>KALMAR LÄN</t>
        </is>
      </c>
      <c r="G491" t="inlineStr">
        <is>
          <t>OSKARSHAMN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46106</v>
      </c>
      <c r="E492" s="1" t="n">
        <v>46236</v>
      </c>
      <c r="F492" t="inlineStr">
        <is>
          <t>KALMAR LÄN</t>
        </is>
      </c>
      <c r="G492" t="inlineStr">
        <is>
          <t>OSKARSHAMN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39670-2022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46236</v>
      </c>
      <c r="F493" t="inlineStr">
        <is>
          <t>KALMAR LÄN</t>
        </is>
      </c>
      <c r="G493" t="inlineStr">
        <is>
          <t>OSKARSHAMN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46236</v>
      </c>
      <c r="F494" t="inlineStr">
        <is>
          <t>KALMAR LÄN</t>
        </is>
      </c>
      <c r="G494" t="inlineStr">
        <is>
          <t>OSKARSHAMN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46236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46236</v>
      </c>
      <c r="F496" t="inlineStr">
        <is>
          <t>KALMAR LÄN</t>
        </is>
      </c>
      <c r="G496" t="inlineStr">
        <is>
          <t>OSKARSHAMN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14129-2025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45740</v>
      </c>
      <c r="E497" s="1" t="n">
        <v>46236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46236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46236</v>
      </c>
      <c r="F499" t="inlineStr">
        <is>
          <t>KALMAR LÄN</t>
        </is>
      </c>
      <c r="G499" t="inlineStr">
        <is>
          <t>OSKARSHAMN</t>
        </is>
      </c>
      <c r="H499" t="inlineStr">
        <is>
          <t>Kommuner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46236</v>
      </c>
      <c r="F500" t="inlineStr">
        <is>
          <t>KALMAR LÄN</t>
        </is>
      </c>
      <c r="G500" t="inlineStr">
        <is>
          <t>OSKARSHAMN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46236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44749</v>
      </c>
      <c r="E502" s="1" t="n">
        <v>46236</v>
      </c>
      <c r="F502" t="inlineStr">
        <is>
          <t>KALMAR LÄN</t>
        </is>
      </c>
      <c r="G502" t="inlineStr">
        <is>
          <t>OSKARSHAMN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46236</v>
      </c>
      <c r="F503" t="inlineStr">
        <is>
          <t>KALMAR LÄN</t>
        </is>
      </c>
      <c r="G503" t="inlineStr">
        <is>
          <t>OSKARSHAMN</t>
        </is>
      </c>
      <c r="I503" t="n">
        <v>12.9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40177-2023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46236</v>
      </c>
      <c r="F504" t="inlineStr">
        <is>
          <t>KALMAR LÄN</t>
        </is>
      </c>
      <c r="G504" t="inlineStr">
        <is>
          <t>OSKARSHAMN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46126</v>
      </c>
      <c r="E505" s="1" t="n">
        <v>46236</v>
      </c>
      <c r="F505" t="inlineStr">
        <is>
          <t>KALMAR LÄN</t>
        </is>
      </c>
      <c r="G505" t="inlineStr">
        <is>
          <t>OSKARSHAMN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46127</v>
      </c>
      <c r="E506" s="1" t="n">
        <v>46236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46236</v>
      </c>
      <c r="F507" t="inlineStr">
        <is>
          <t>KALMAR LÄN</t>
        </is>
      </c>
      <c r="G507" t="inlineStr">
        <is>
          <t>OSKARSHAMN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46236</v>
      </c>
      <c r="F508" t="inlineStr">
        <is>
          <t>KALMAR LÄN</t>
        </is>
      </c>
      <c r="G508" t="inlineStr">
        <is>
          <t>OSKARSHAMN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46236</v>
      </c>
      <c r="F509" t="inlineStr">
        <is>
          <t>KALMAR LÄN</t>
        </is>
      </c>
      <c r="G509" t="inlineStr">
        <is>
          <t>OSKARSHAMN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18978-2026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46128</v>
      </c>
      <c r="E510" s="1" t="n">
        <v>46236</v>
      </c>
      <c r="F510" t="inlineStr">
        <is>
          <t>KALMAR LÄN</t>
        </is>
      </c>
      <c r="G510" t="inlineStr">
        <is>
          <t>OSKARSHAMN</t>
        </is>
      </c>
      <c r="H510" t="inlineStr">
        <is>
          <t>Kommuner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46236</v>
      </c>
      <c r="F511" t="inlineStr">
        <is>
          <t>KALMAR LÄN</t>
        </is>
      </c>
      <c r="G511" t="inlineStr">
        <is>
          <t>OSKARSHAMN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54522-2023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45233</v>
      </c>
      <c r="E512" s="1" t="n">
        <v>46236</v>
      </c>
      <c r="F512" t="inlineStr">
        <is>
          <t>KALMAR LÄN</t>
        </is>
      </c>
      <c r="G512" t="inlineStr">
        <is>
          <t>OSKARSHAMN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46236</v>
      </c>
      <c r="F513" t="inlineStr">
        <is>
          <t>KALMAR LÄN</t>
        </is>
      </c>
      <c r="G513" t="inlineStr">
        <is>
          <t>OSKARSHAMN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30000-2022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44756</v>
      </c>
      <c r="E514" s="1" t="n">
        <v>46236</v>
      </c>
      <c r="F514" t="inlineStr">
        <is>
          <t>KALMAR LÄN</t>
        </is>
      </c>
      <c r="G514" t="inlineStr">
        <is>
          <t>OSKARSHAMN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46236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45240</v>
      </c>
      <c r="E516" s="1" t="n">
        <v>46236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45754</v>
      </c>
      <c r="E517" s="1" t="n">
        <v>46236</v>
      </c>
      <c r="F517" t="inlineStr">
        <is>
          <t>KALMAR LÄN</t>
        </is>
      </c>
      <c r="G517" t="inlineStr">
        <is>
          <t>OSKARSHAMN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45317</v>
      </c>
      <c r="E518" s="1" t="n">
        <v>46236</v>
      </c>
      <c r="F518" t="inlineStr">
        <is>
          <t>KALMAR LÄN</t>
        </is>
      </c>
      <c r="G518" t="inlineStr">
        <is>
          <t>OSKARSHAMN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45448</v>
      </c>
      <c r="E519" s="1" t="n">
        <v>46236</v>
      </c>
      <c r="F519" t="inlineStr">
        <is>
          <t>KALMAR LÄN</t>
        </is>
      </c>
      <c r="G519" t="inlineStr">
        <is>
          <t>OSKARSHAMN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58375-2024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46236</v>
      </c>
      <c r="F520" t="inlineStr">
        <is>
          <t>KALMAR LÄN</t>
        </is>
      </c>
      <c r="G520" t="inlineStr">
        <is>
          <t>OSKARSHAMN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46236</v>
      </c>
      <c r="F521" t="inlineStr">
        <is>
          <t>KALMAR LÄN</t>
        </is>
      </c>
      <c r="G521" t="inlineStr">
        <is>
          <t>OSKARSHAMN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46236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45531</v>
      </c>
      <c r="E523" s="1" t="n">
        <v>46236</v>
      </c>
      <c r="F523" t="inlineStr">
        <is>
          <t>KALMAR LÄN</t>
        </is>
      </c>
      <c r="G523" t="inlineStr">
        <is>
          <t>OSKARSHAMN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11858-2025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45728</v>
      </c>
      <c r="E524" s="1" t="n">
        <v>46236</v>
      </c>
      <c r="F524" t="inlineStr">
        <is>
          <t>KALMAR LÄN</t>
        </is>
      </c>
      <c r="G524" t="inlineStr">
        <is>
          <t>OSKARSHAMN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46236</v>
      </c>
      <c r="F525" t="inlineStr">
        <is>
          <t>KALMAR LÄN</t>
        </is>
      </c>
      <c r="G525" t="inlineStr">
        <is>
          <t>OSKARSHAMN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46236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46236</v>
      </c>
      <c r="F527" t="inlineStr">
        <is>
          <t>KALMAR LÄN</t>
        </is>
      </c>
      <c r="G527" t="inlineStr">
        <is>
          <t>OSKARSHAMN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62623-2021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44503</v>
      </c>
      <c r="E528" s="1" t="n">
        <v>46236</v>
      </c>
      <c r="F528" t="inlineStr">
        <is>
          <t>KALMAR LÄN</t>
        </is>
      </c>
      <c r="G528" t="inlineStr">
        <is>
          <t>OSKARSHAMN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46236</v>
      </c>
      <c r="F529" t="inlineStr">
        <is>
          <t>KALMAR LÄN</t>
        </is>
      </c>
      <c r="G529" t="inlineStr">
        <is>
          <t>OSKARSHAMN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46236</v>
      </c>
      <c r="F530" t="inlineStr">
        <is>
          <t>KALMAR LÄN</t>
        </is>
      </c>
      <c r="G530" t="inlineStr">
        <is>
          <t>OSKARSHAMN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45330</v>
      </c>
      <c r="E531" s="1" t="n">
        <v>46236</v>
      </c>
      <c r="F531" t="inlineStr">
        <is>
          <t>KALMAR LÄN</t>
        </is>
      </c>
      <c r="G531" t="inlineStr">
        <is>
          <t>OSKARSHAMN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46236</v>
      </c>
      <c r="F532" t="inlineStr">
        <is>
          <t>KALMAR LÄN</t>
        </is>
      </c>
      <c r="G532" t="inlineStr">
        <is>
          <t>OSKARSHAMN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45908</v>
      </c>
      <c r="E533" s="1" t="n">
        <v>46236</v>
      </c>
      <c r="F533" t="inlineStr">
        <is>
          <t>KALMAR LÄN</t>
        </is>
      </c>
      <c r="G533" t="inlineStr">
        <is>
          <t>OSKARSHAMN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46236</v>
      </c>
      <c r="F534" t="inlineStr">
        <is>
          <t>KALMAR LÄN</t>
        </is>
      </c>
      <c r="G534" t="inlineStr">
        <is>
          <t>OSKARSHAMN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46236</v>
      </c>
      <c r="F535" t="inlineStr">
        <is>
          <t>KALMAR LÄN</t>
        </is>
      </c>
      <c r="G535" t="inlineStr">
        <is>
          <t>OSKARSHAMN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45448</v>
      </c>
      <c r="E536" s="1" t="n">
        <v>46236</v>
      </c>
      <c r="F536" t="inlineStr">
        <is>
          <t>KALMAR LÄN</t>
        </is>
      </c>
      <c r="G536" t="inlineStr">
        <is>
          <t>OSKARSHAMN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45015</v>
      </c>
      <c r="E537" s="1" t="n">
        <v>46236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46236</v>
      </c>
      <c r="F538" t="inlineStr">
        <is>
          <t>KALMAR LÄN</t>
        </is>
      </c>
      <c r="G538" t="inlineStr">
        <is>
          <t>OSKARSHAMN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46236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46007</v>
      </c>
      <c r="E540" s="1" t="n">
        <v>46236</v>
      </c>
      <c r="F540" t="inlineStr">
        <is>
          <t>KALMAR LÄN</t>
        </is>
      </c>
      <c r="G540" t="inlineStr">
        <is>
          <t>OSKARSHAMN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45294</v>
      </c>
      <c r="E541" s="1" t="n">
        <v>46236</v>
      </c>
      <c r="F541" t="inlineStr">
        <is>
          <t>KALMAR LÄN</t>
        </is>
      </c>
      <c r="G541" t="inlineStr">
        <is>
          <t>OSKARSHAMN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46236</v>
      </c>
      <c r="F542" t="inlineStr">
        <is>
          <t>KALMAR LÄN</t>
        </is>
      </c>
      <c r="G542" t="inlineStr">
        <is>
          <t>OSKARSHAMN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46236</v>
      </c>
      <c r="F543" t="inlineStr">
        <is>
          <t>KALMAR LÄN</t>
        </is>
      </c>
      <c r="G543" t="inlineStr">
        <is>
          <t>OSKARSHAMN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58401-2021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46236</v>
      </c>
      <c r="F544" t="inlineStr">
        <is>
          <t>KALMAR LÄN</t>
        </is>
      </c>
      <c r="G544" t="inlineStr">
        <is>
          <t>OSKARSHAMN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48000-2024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45589</v>
      </c>
      <c r="E545" s="1" t="n">
        <v>46236</v>
      </c>
      <c r="F545" t="inlineStr">
        <is>
          <t>KALMAR LÄN</t>
        </is>
      </c>
      <c r="G545" t="inlineStr">
        <is>
          <t>OSKARSHAMN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44879</v>
      </c>
      <c r="E546" s="1" t="n">
        <v>46236</v>
      </c>
      <c r="F546" t="inlineStr">
        <is>
          <t>KALMAR LÄN</t>
        </is>
      </c>
      <c r="G546" t="inlineStr">
        <is>
          <t>OSKARSHAMN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44621</v>
      </c>
      <c r="E547" s="1" t="n">
        <v>46236</v>
      </c>
      <c r="F547" t="inlineStr">
        <is>
          <t>KALMAR LÄN</t>
        </is>
      </c>
      <c r="G547" t="inlineStr">
        <is>
          <t>OSKARSHAMN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46236</v>
      </c>
      <c r="F548" t="inlineStr">
        <is>
          <t>KALMAR LÄN</t>
        </is>
      </c>
      <c r="G548" t="inlineStr">
        <is>
          <t>OSKARSHAMN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45796</v>
      </c>
      <c r="E549" s="1" t="n">
        <v>46236</v>
      </c>
      <c r="F549" t="inlineStr">
        <is>
          <t>KALMAR LÄN</t>
        </is>
      </c>
      <c r="G549" t="inlineStr">
        <is>
          <t>OSKARSHAMN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46236</v>
      </c>
      <c r="F550" t="inlineStr">
        <is>
          <t>KALMAR LÄN</t>
        </is>
      </c>
      <c r="G550" t="inlineStr">
        <is>
          <t>OSKARSHAMN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46236</v>
      </c>
      <c r="F551" t="inlineStr">
        <is>
          <t>KALMAR LÄN</t>
        </is>
      </c>
      <c r="G551" t="inlineStr">
        <is>
          <t>OSKARSHAMN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22801-2024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45448</v>
      </c>
      <c r="E552" s="1" t="n">
        <v>46236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46236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46236</v>
      </c>
      <c r="F554" t="inlineStr">
        <is>
          <t>KALMAR LÄN</t>
        </is>
      </c>
      <c r="G554" t="inlineStr">
        <is>
          <t>OSKARSHAMN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45433</v>
      </c>
      <c r="E555" s="1" t="n">
        <v>46236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58406-2021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44488</v>
      </c>
      <c r="E556" s="1" t="n">
        <v>46236</v>
      </c>
      <c r="F556" t="inlineStr">
        <is>
          <t>KALMAR LÄN</t>
        </is>
      </c>
      <c r="G556" t="inlineStr">
        <is>
          <t>OSKARSHAMN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46236</v>
      </c>
      <c r="F557" t="inlineStr">
        <is>
          <t>KALMAR LÄN</t>
        </is>
      </c>
      <c r="G557" t="inlineStr">
        <is>
          <t>OSKARSHAMN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46236</v>
      </c>
      <c r="F558" t="inlineStr">
        <is>
          <t>KALMAR LÄN</t>
        </is>
      </c>
      <c r="G558" t="inlineStr">
        <is>
          <t>OSKARSHAMN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26127-2025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45805</v>
      </c>
      <c r="E559" s="1" t="n">
        <v>46236</v>
      </c>
      <c r="F559" t="inlineStr">
        <is>
          <t>KALMAR LÄN</t>
        </is>
      </c>
      <c r="G559" t="inlineStr">
        <is>
          <t>OSKARSHAMN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46236</v>
      </c>
      <c r="F560" t="inlineStr">
        <is>
          <t>KALMAR LÄN</t>
        </is>
      </c>
      <c r="G560" t="inlineStr">
        <is>
          <t>OSKARSHAMN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46236</v>
      </c>
      <c r="F561" t="inlineStr">
        <is>
          <t>KALMAR LÄN</t>
        </is>
      </c>
      <c r="G561" t="inlineStr">
        <is>
          <t>OSKARSHAMN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46236</v>
      </c>
      <c r="F562" t="inlineStr">
        <is>
          <t>KALMAR LÄN</t>
        </is>
      </c>
      <c r="G562" t="inlineStr">
        <is>
          <t>OSKARSHAMN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46236</v>
      </c>
      <c r="F563" t="inlineStr">
        <is>
          <t>KALMAR LÄN</t>
        </is>
      </c>
      <c r="G563" t="inlineStr">
        <is>
          <t>OSKARSHAMN</t>
        </is>
      </c>
      <c r="I563" t="n">
        <v>11.7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45805</v>
      </c>
      <c r="E564" s="1" t="n">
        <v>46236</v>
      </c>
      <c r="F564" t="inlineStr">
        <is>
          <t>KALMAR LÄN</t>
        </is>
      </c>
      <c r="G564" t="inlineStr">
        <is>
          <t>OSKARSHAMN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46236</v>
      </c>
      <c r="F565" t="inlineStr">
        <is>
          <t>KALMAR LÄN</t>
        </is>
      </c>
      <c r="G565" t="inlineStr">
        <is>
          <t>OSKARSHAMN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46236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45691</v>
      </c>
      <c r="E567" s="1" t="n">
        <v>46236</v>
      </c>
      <c r="F567" t="inlineStr">
        <is>
          <t>KALMAR LÄN</t>
        </is>
      </c>
      <c r="G567" t="inlineStr">
        <is>
          <t>OSKARSHAMN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45792</v>
      </c>
      <c r="E568" s="1" t="n">
        <v>46236</v>
      </c>
      <c r="F568" t="inlineStr">
        <is>
          <t>KALMAR LÄN</t>
        </is>
      </c>
      <c r="G568" t="inlineStr">
        <is>
          <t>OSKARSHAMN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46236</v>
      </c>
      <c r="F569" t="inlineStr">
        <is>
          <t>KALMAR LÄN</t>
        </is>
      </c>
      <c r="G569" t="inlineStr">
        <is>
          <t>OSKARSHAMN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46236</v>
      </c>
      <c r="F570" t="inlineStr">
        <is>
          <t>KALMAR LÄN</t>
        </is>
      </c>
      <c r="G570" t="inlineStr">
        <is>
          <t>OSKARSHAMN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61028-2024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46236</v>
      </c>
      <c r="F571" t="inlineStr">
        <is>
          <t>KALMAR LÄN</t>
        </is>
      </c>
      <c r="G571" t="inlineStr">
        <is>
          <t>OSKARSHAMN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46236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2334-2022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44685</v>
      </c>
      <c r="E573" s="1" t="n">
        <v>46236</v>
      </c>
      <c r="F573" t="inlineStr">
        <is>
          <t>KALMAR LÄN</t>
        </is>
      </c>
      <c r="G573" t="inlineStr">
        <is>
          <t>OSKARSHAMN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46236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46236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46236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46236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46236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46236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46236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6585-2021</t>
        </is>
      </c>
      <c r="B581" t="inlineStr">
        <is>
          <t>samrådsanmälan</t>
        </is>
      </c>
      <c r="C581" t="inlineStr">
        <is>
          <t>Dikesrensning</t>
        </is>
      </c>
      <c r="D581" s="1" t="n">
        <v>44455</v>
      </c>
      <c r="E581" s="1" t="n">
        <v>46236</v>
      </c>
      <c r="F581" t="inlineStr">
        <is>
          <t>KALMAR LÄN</t>
        </is>
      </c>
      <c r="G581" t="inlineStr">
        <is>
          <t>OSKARSHAMN</t>
        </is>
      </c>
      <c r="H581" t="inlineStr">
        <is>
          <t>Sveaskog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4600-2023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45287</v>
      </c>
      <c r="E582" s="1" t="n">
        <v>46236</v>
      </c>
      <c r="F582" t="inlineStr">
        <is>
          <t>KALMAR LÄN</t>
        </is>
      </c>
      <c r="G582" t="inlineStr">
        <is>
          <t>OSKARSHAMN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46236</v>
      </c>
      <c r="F583" t="inlineStr">
        <is>
          <t>KALMAR LÄN</t>
        </is>
      </c>
      <c r="G583" t="inlineStr">
        <is>
          <t>OSKARSHAMN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2620-2024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46236</v>
      </c>
      <c r="F584" t="inlineStr">
        <is>
          <t>KALMAR LÄN</t>
        </is>
      </c>
      <c r="G584" t="inlineStr">
        <is>
          <t>OSKARSHAMN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46236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46236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46236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46236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46236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46236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46236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2367-2025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45889</v>
      </c>
      <c r="E592" s="1" t="n">
        <v>46236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2970-2025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45954</v>
      </c>
      <c r="E593" s="1" t="n">
        <v>46236</v>
      </c>
      <c r="F593" t="inlineStr">
        <is>
          <t>KALMAR LÄN</t>
        </is>
      </c>
      <c r="G593" t="inlineStr">
        <is>
          <t>OSKARSHAMN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3540-2025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46009</v>
      </c>
      <c r="E594" s="1" t="n">
        <v>46236</v>
      </c>
      <c r="F594" t="inlineStr">
        <is>
          <t>KALMAR LÄN</t>
        </is>
      </c>
      <c r="G594" t="inlineStr">
        <is>
          <t>OSKARSHAMN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2386-2024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45468</v>
      </c>
      <c r="E595" s="1" t="n">
        <v>46236</v>
      </c>
      <c r="F595" t="inlineStr">
        <is>
          <t>KALMAR LÄN</t>
        </is>
      </c>
      <c r="G595" t="inlineStr">
        <is>
          <t>OSKARSHAMN</t>
        </is>
      </c>
      <c r="H595" t="inlineStr">
        <is>
          <t>Kommuner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1820-2026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46197</v>
      </c>
      <c r="E596" s="1" t="n">
        <v>46236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2026-08-02T01:55:02Z</dcterms:created>
  <dcterms:modified xmlns:dcterms="http://purl.org/dc/terms/" xmlns:xsi="http://www.w3.org/2001/XMLSchema-instance" xsi:type="dcterms:W3CDTF">2026-08-02T01:55:03Z</dcterms:modified>
</cp:coreProperties>
</file>