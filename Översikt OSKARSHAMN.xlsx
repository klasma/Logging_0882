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46258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46258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46258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46258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46258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46258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9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10</v>
      </c>
      <c r="T11" t="n">
        <v>17</v>
      </c>
      <c r="U11" t="n">
        <v>17</v>
      </c>
      <c r="V11" s="2" t="inlineStr">
        <is>
          <t>Kritsuga
Grönfink
Mindre hackspett
Sårläka
Blåsippa
Nattskärra
Spillkråka
Hasselmus
Ärtsångare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46258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46258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46258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46258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46258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46258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46258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46258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46258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46258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46258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46258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46258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46258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46258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46258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46258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46258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46258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46258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46258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Revlummer</t>
        </is>
      </c>
      <c r="W40">
        <f>HYPERLINK("https://klasma.github.io/Logging_0882/artfynd/A 31144-2023 artfynd.xlsx", "A 31144-2023")</f>
        <v/>
      </c>
      <c r="X40">
        <f>HYPERLINK("https://klasma.github.io/Logging_0882/kartor/A 31144-2023 karta.png", "A 31144-2023")</f>
        <v/>
      </c>
      <c r="Y40">
        <f>HYPERLINK("https://klasma.github.io/Logging_0882/kartor_geotiff/A 31144-2023 georefererad karta.tif", "A 31144-2023")</f>
        <v/>
      </c>
      <c r="AA40">
        <f>HYPERLINK("https://klasma.github.io/Logging_0882/klagomål/A 31144-2023 FSC-klagomål.docx", "A 31144-2023")</f>
        <v/>
      </c>
      <c r="AB40">
        <f>HYPERLINK("https://klasma.github.io/Logging_0882/klagomålsmail/A 31144-2023 FSC-klagomål mail.docx", "A 31144-2023")</f>
        <v/>
      </c>
      <c r="AC40">
        <f>HYPERLINK("https://klasma.github.io/Logging_0882/tillsyn/A 31144-2023 tillsynsbegäran.docx", "A 31144-2023")</f>
        <v/>
      </c>
      <c r="AD40">
        <f>HYPERLINK("https://klasma.github.io/Logging_0882/tillsynsmail/A 31144-2023 tillsynsbegäran mail.docx", "A 31144-2023")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46258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46258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46258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46258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46258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46258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46258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46258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46258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46258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46258</v>
      </c>
      <c r="F53" t="inlineStr">
        <is>
          <t>KALMAR LÄN</t>
        </is>
      </c>
      <c r="G53" t="inlineStr">
        <is>
          <t>OSKARSHAMN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Orange taggsvamp</t>
        </is>
      </c>
      <c r="W53">
        <f>HYPERLINK("https://klasma.github.io/Logging_0882/artfynd/A 40258-2022 artfynd.xlsx", "A 40258-2022")</f>
        <v/>
      </c>
      <c r="X53">
        <f>HYPERLINK("https://klasma.github.io/Logging_0882/kartor/A 40258-2022 karta.png", "A 40258-2022")</f>
        <v/>
      </c>
      <c r="Y53">
        <f>HYPERLINK("https://klasma.github.io/Logging_0882/kartor_geotiff/A 40258-2022 georefererad karta.tif", "A 40258-2022")</f>
        <v/>
      </c>
      <c r="AA53">
        <f>HYPERLINK("https://klasma.github.io/Logging_0882/klagomål/A 40258-2022 FSC-klagomål.docx", "A 40258-2022")</f>
        <v/>
      </c>
      <c r="AB53">
        <f>HYPERLINK("https://klasma.github.io/Logging_0882/klagomålsmail/A 40258-2022 FSC-klagomål mail.docx", "A 40258-2022")</f>
        <v/>
      </c>
      <c r="AC53">
        <f>HYPERLINK("https://klasma.github.io/Logging_0882/tillsyn/A 40258-2022 tillsynsbegäran.docx", "A 40258-2022")</f>
        <v/>
      </c>
      <c r="AD53">
        <f>HYPERLINK("https://klasma.github.io/Logging_0882/tillsynsmail/A 40258-2022 tillsynsbegäran mail.docx", "A 40258-2022")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46258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46258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46258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46258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46258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46258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46258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46258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46258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46258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46258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46258</v>
      </c>
      <c r="F67" t="inlineStr">
        <is>
          <t>KALMAR LÄN</t>
        </is>
      </c>
      <c r="G67" t="inlineStr">
        <is>
          <t>OSKARSHAMN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46258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46258</v>
      </c>
      <c r="F69" t="inlineStr">
        <is>
          <t>KALMAR LÄN</t>
        </is>
      </c>
      <c r="G69" t="inlineStr">
        <is>
          <t>OSKARSHAMN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46258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46258</v>
      </c>
      <c r="F71" t="inlineStr">
        <is>
          <t>KALMAR LÄN</t>
        </is>
      </c>
      <c r="G71" t="inlineStr">
        <is>
          <t>OSKARSHAMN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46258</v>
      </c>
      <c r="F72" t="inlineStr">
        <is>
          <t>KALMAR LÄN</t>
        </is>
      </c>
      <c r="G72" t="inlineStr">
        <is>
          <t>OSKARSHAMN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46258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46258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46258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46258</v>
      </c>
      <c r="F76" t="inlineStr">
        <is>
          <t>KALMAR LÄN</t>
        </is>
      </c>
      <c r="G76" t="inlineStr">
        <is>
          <t>OSKARSHAMN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46258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46258</v>
      </c>
      <c r="F78" t="inlineStr">
        <is>
          <t>KALMAR LÄN</t>
        </is>
      </c>
      <c r="G78" t="inlineStr">
        <is>
          <t>OSKARSHAMN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46258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44443</v>
      </c>
      <c r="E80" s="1" t="n">
        <v>46258</v>
      </c>
      <c r="F80" t="inlineStr">
        <is>
          <t>KALMAR LÄN</t>
        </is>
      </c>
      <c r="G80" t="inlineStr">
        <is>
          <t>OSKARSHAMN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46258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44761</v>
      </c>
      <c r="E82" s="1" t="n">
        <v>46258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46258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46258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46258</v>
      </c>
      <c r="F85" t="inlineStr">
        <is>
          <t>KALMAR LÄN</t>
        </is>
      </c>
      <c r="G85" t="inlineStr">
        <is>
          <t>OSKARSHAMN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46258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46258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46258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46258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46258</v>
      </c>
      <c r="F90" t="inlineStr">
        <is>
          <t>KALMAR LÄN</t>
        </is>
      </c>
      <c r="G90" t="inlineStr">
        <is>
          <t>OSKARSHAMN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46258</v>
      </c>
      <c r="F91" t="inlineStr">
        <is>
          <t>KALMAR LÄN</t>
        </is>
      </c>
      <c r="G91" t="inlineStr">
        <is>
          <t>OSKARSHAMN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46258</v>
      </c>
      <c r="F92" t="inlineStr">
        <is>
          <t>KALMAR LÄN</t>
        </is>
      </c>
      <c r="G92" t="inlineStr">
        <is>
          <t>OSKARSHAMN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46258</v>
      </c>
      <c r="F93" t="inlineStr">
        <is>
          <t>KALMAR LÄN</t>
        </is>
      </c>
      <c r="G93" t="inlineStr">
        <is>
          <t>OSKARSHAMN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46258</v>
      </c>
      <c r="F94" t="inlineStr">
        <is>
          <t>KALMAR LÄN</t>
        </is>
      </c>
      <c r="G94" t="inlineStr">
        <is>
          <t>OSKARSHAMN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46258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46258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46258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46258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46258</v>
      </c>
      <c r="F99" t="inlineStr">
        <is>
          <t>KALMAR LÄN</t>
        </is>
      </c>
      <c r="G99" t="inlineStr">
        <is>
          <t>OSKARSHAMN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46258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46258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46258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46258</v>
      </c>
      <c r="F103" t="inlineStr">
        <is>
          <t>KALMAR LÄN</t>
        </is>
      </c>
      <c r="G103" t="inlineStr">
        <is>
          <t>OSKARSHAMN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46258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46258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46258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53024-2021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46258</v>
      </c>
      <c r="F107" t="inlineStr">
        <is>
          <t>KALMAR LÄN</t>
        </is>
      </c>
      <c r="G107" t="inlineStr">
        <is>
          <t>OSKARSHAMN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46258</v>
      </c>
      <c r="F108" t="inlineStr">
        <is>
          <t>KALMAR LÄN</t>
        </is>
      </c>
      <c r="G108" t="inlineStr">
        <is>
          <t>OSKARSHAMN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46258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46258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46258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26127-2025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46258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46258</v>
      </c>
      <c r="F113" t="inlineStr">
        <is>
          <t>KALMAR LÄN</t>
        </is>
      </c>
      <c r="G113" t="inlineStr">
        <is>
          <t>OSKARSHAMN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44593</v>
      </c>
      <c r="E114" s="1" t="n">
        <v>46258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46258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46258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46258</v>
      </c>
      <c r="F117" t="inlineStr">
        <is>
          <t>KALMAR LÄN</t>
        </is>
      </c>
      <c r="G117" t="inlineStr">
        <is>
          <t>OSKARSHAMN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46258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46258</v>
      </c>
      <c r="F119" t="inlineStr">
        <is>
          <t>KALMAR LÄN</t>
        </is>
      </c>
      <c r="G119" t="inlineStr">
        <is>
          <t>OSKARSHAMN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46258</v>
      </c>
      <c r="F120" t="inlineStr">
        <is>
          <t>KALMAR LÄN</t>
        </is>
      </c>
      <c r="G120" t="inlineStr">
        <is>
          <t>OSKARSHAMN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46258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46258</v>
      </c>
      <c r="F122" t="inlineStr">
        <is>
          <t>KALMAR LÄN</t>
        </is>
      </c>
      <c r="G122" t="inlineStr">
        <is>
          <t>OSKARSHAMN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46258</v>
      </c>
      <c r="F123" t="inlineStr">
        <is>
          <t>KALMAR LÄN</t>
        </is>
      </c>
      <c r="G123" t="inlineStr">
        <is>
          <t>OSKARSHAMN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46258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46258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46258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44818</v>
      </c>
      <c r="E127" s="1" t="n">
        <v>46258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46258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46258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46258</v>
      </c>
      <c r="F130" t="inlineStr">
        <is>
          <t>KALMAR LÄN</t>
        </is>
      </c>
      <c r="G130" t="inlineStr">
        <is>
          <t>OSKARSHAMN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46258</v>
      </c>
      <c r="F131" t="inlineStr">
        <is>
          <t>KALMAR LÄN</t>
        </is>
      </c>
      <c r="G131" t="inlineStr">
        <is>
          <t>OSKARSHAMN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44503</v>
      </c>
      <c r="E132" s="1" t="n">
        <v>46258</v>
      </c>
      <c r="F132" t="inlineStr">
        <is>
          <t>KALMAR LÄN</t>
        </is>
      </c>
      <c r="G132" t="inlineStr">
        <is>
          <t>OSKARSHAMN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46258</v>
      </c>
      <c r="F133" t="inlineStr">
        <is>
          <t>KALMAR LÄN</t>
        </is>
      </c>
      <c r="G133" t="inlineStr">
        <is>
          <t>OSKARSHAMN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46258</v>
      </c>
      <c r="F134" t="inlineStr">
        <is>
          <t>KALMAR LÄN</t>
        </is>
      </c>
      <c r="G134" t="inlineStr">
        <is>
          <t>OSKARSHAMN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46258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46258</v>
      </c>
      <c r="F136" t="inlineStr">
        <is>
          <t>KALMAR LÄN</t>
        </is>
      </c>
      <c r="G136" t="inlineStr">
        <is>
          <t>OSKARSHAMN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44564</v>
      </c>
      <c r="E137" s="1" t="n">
        <v>46258</v>
      </c>
      <c r="F137" t="inlineStr">
        <is>
          <t>KALMAR LÄN</t>
        </is>
      </c>
      <c r="G137" t="inlineStr">
        <is>
          <t>OSKARSHAMN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46258</v>
      </c>
      <c r="F138" t="inlineStr">
        <is>
          <t>KALMAR LÄN</t>
        </is>
      </c>
      <c r="G138" t="inlineStr">
        <is>
          <t>OSKARSHAMN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46258</v>
      </c>
      <c r="F139" t="inlineStr">
        <is>
          <t>KALMAR LÄN</t>
        </is>
      </c>
      <c r="G139" t="inlineStr">
        <is>
          <t>OSKARSHAMN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46258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46258</v>
      </c>
      <c r="F141" t="inlineStr">
        <is>
          <t>KALMAR LÄN</t>
        </is>
      </c>
      <c r="G141" t="inlineStr">
        <is>
          <t>OSKARSHAMN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46258</v>
      </c>
      <c r="F142" t="inlineStr">
        <is>
          <t>KALMAR LÄN</t>
        </is>
      </c>
      <c r="G142" t="inlineStr">
        <is>
          <t>OSKARSHAMN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46258</v>
      </c>
      <c r="F143" t="inlineStr">
        <is>
          <t>KALMAR LÄN</t>
        </is>
      </c>
      <c r="G143" t="inlineStr">
        <is>
          <t>OSKARSHAMN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46258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46258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46258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46258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46258</v>
      </c>
      <c r="F148" t="inlineStr">
        <is>
          <t>KALMAR LÄN</t>
        </is>
      </c>
      <c r="G148" t="inlineStr">
        <is>
          <t>OSKARSHAMN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46258</v>
      </c>
      <c r="F149" t="inlineStr">
        <is>
          <t>KALMAR LÄN</t>
        </is>
      </c>
      <c r="G149" t="inlineStr">
        <is>
          <t>OSKARSHAMN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46258</v>
      </c>
      <c r="F150" t="inlineStr">
        <is>
          <t>KALMAR LÄN</t>
        </is>
      </c>
      <c r="G150" t="inlineStr">
        <is>
          <t>OSKARSHAMN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42693-2025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45908</v>
      </c>
      <c r="E151" s="1" t="n">
        <v>46258</v>
      </c>
      <c r="F151" t="inlineStr">
        <is>
          <t>KALMAR LÄN</t>
        </is>
      </c>
      <c r="G151" t="inlineStr">
        <is>
          <t>OSKARSHAMN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46258</v>
      </c>
      <c r="F152" t="inlineStr">
        <is>
          <t>KALMAR LÄN</t>
        </is>
      </c>
      <c r="G152" t="inlineStr">
        <is>
          <t>OSKARSHAMN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46258</v>
      </c>
      <c r="F153" t="inlineStr">
        <is>
          <t>KALMAR LÄN</t>
        </is>
      </c>
      <c r="G153" t="inlineStr">
        <is>
          <t>OSKARSHAMN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46258</v>
      </c>
      <c r="F154" t="inlineStr">
        <is>
          <t>KALMAR LÄN</t>
        </is>
      </c>
      <c r="G154" t="inlineStr">
        <is>
          <t>OSKARSHAMN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42751-2025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46258</v>
      </c>
      <c r="F155" t="inlineStr">
        <is>
          <t>KALMAR LÄN</t>
        </is>
      </c>
      <c r="G155" t="inlineStr">
        <is>
          <t>OSKARSHAMN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46258</v>
      </c>
      <c r="F156" t="inlineStr">
        <is>
          <t>KALMAR LÄN</t>
        </is>
      </c>
      <c r="G156" t="inlineStr">
        <is>
          <t>OSKARSHAMN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46258</v>
      </c>
      <c r="F157" t="inlineStr">
        <is>
          <t>KALMAR LÄN</t>
        </is>
      </c>
      <c r="G157" t="inlineStr">
        <is>
          <t>OSKARSHAMN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45567</v>
      </c>
      <c r="E158" s="1" t="n">
        <v>46258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46258</v>
      </c>
      <c r="F159" t="inlineStr">
        <is>
          <t>KALMAR LÄN</t>
        </is>
      </c>
      <c r="G159" t="inlineStr">
        <is>
          <t>OSKARSHAMN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46258</v>
      </c>
      <c r="F160" t="inlineStr">
        <is>
          <t>KALMAR LÄN</t>
        </is>
      </c>
      <c r="G160" t="inlineStr">
        <is>
          <t>OSKARSHAMN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46258</v>
      </c>
      <c r="F161" t="inlineStr">
        <is>
          <t>KALMAR LÄN</t>
        </is>
      </c>
      <c r="G161" t="inlineStr">
        <is>
          <t>OSKARSHAMN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44743</v>
      </c>
      <c r="E162" s="1" t="n">
        <v>46258</v>
      </c>
      <c r="F162" t="inlineStr">
        <is>
          <t>KALMAR LÄN</t>
        </is>
      </c>
      <c r="G162" t="inlineStr">
        <is>
          <t>OSKARSHAMN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46258</v>
      </c>
      <c r="F163" t="inlineStr">
        <is>
          <t>KALMAR LÄN</t>
        </is>
      </c>
      <c r="G163" t="inlineStr">
        <is>
          <t>OSKARSHAMN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46258</v>
      </c>
      <c r="F164" t="inlineStr">
        <is>
          <t>KALMAR LÄN</t>
        </is>
      </c>
      <c r="G164" t="inlineStr">
        <is>
          <t>OSKARSHAMN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46258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46258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46258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46258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46258</v>
      </c>
      <c r="F169" t="inlineStr">
        <is>
          <t>KALMAR LÄN</t>
        </is>
      </c>
      <c r="G169" t="inlineStr">
        <is>
          <t>OSKARSHAMN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46258</v>
      </c>
      <c r="F170" t="inlineStr">
        <is>
          <t>KALMAR LÄN</t>
        </is>
      </c>
      <c r="G170" t="inlineStr">
        <is>
          <t>OSKARSHAMN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46258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46258</v>
      </c>
      <c r="F172" t="inlineStr">
        <is>
          <t>KALMAR LÄN</t>
        </is>
      </c>
      <c r="G172" t="inlineStr">
        <is>
          <t>OSKARSHAMN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46258</v>
      </c>
      <c r="F173" t="inlineStr">
        <is>
          <t>KALMAR LÄN</t>
        </is>
      </c>
      <c r="G173" t="inlineStr">
        <is>
          <t>OSKARSHAMN</t>
        </is>
      </c>
      <c r="H173" t="inlineStr">
        <is>
          <t>Kommuner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8499-2023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44977</v>
      </c>
      <c r="E174" s="1" t="n">
        <v>46258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46258</v>
      </c>
      <c r="F175" t="inlineStr">
        <is>
          <t>KALMAR LÄN</t>
        </is>
      </c>
      <c r="G175" t="inlineStr">
        <is>
          <t>OSKARSHAMN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46258</v>
      </c>
      <c r="F176" t="inlineStr">
        <is>
          <t>KALMAR LÄN</t>
        </is>
      </c>
      <c r="G176" t="inlineStr">
        <is>
          <t>OSKARSHAMN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46258</v>
      </c>
      <c r="F177" t="inlineStr">
        <is>
          <t>KALMAR LÄN</t>
        </is>
      </c>
      <c r="G177" t="inlineStr">
        <is>
          <t>OSKARSHAMN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46258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8656-2022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44613</v>
      </c>
      <c r="E179" s="1" t="n">
        <v>46258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46258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46258</v>
      </c>
      <c r="F181" t="inlineStr">
        <is>
          <t>KALMAR LÄN</t>
        </is>
      </c>
      <c r="G181" t="inlineStr">
        <is>
          <t>OSKARSHAMN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46258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46258</v>
      </c>
      <c r="F183" t="inlineStr">
        <is>
          <t>KALMAR LÄN</t>
        </is>
      </c>
      <c r="G183" t="inlineStr">
        <is>
          <t>OSKARSHAMN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46258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46258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46258</v>
      </c>
      <c r="F186" t="inlineStr">
        <is>
          <t>KALMAR LÄN</t>
        </is>
      </c>
      <c r="G186" t="inlineStr">
        <is>
          <t>OSKARSHAMN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71340-2021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46258</v>
      </c>
      <c r="F187" t="inlineStr">
        <is>
          <t>KALMAR LÄN</t>
        </is>
      </c>
      <c r="G187" t="inlineStr">
        <is>
          <t>OSKARSHAMN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46258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46258</v>
      </c>
      <c r="F189" t="inlineStr">
        <is>
          <t>KALMAR LÄN</t>
        </is>
      </c>
      <c r="G189" t="inlineStr">
        <is>
          <t>OSKARSHAMN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46258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46258</v>
      </c>
      <c r="F191" t="inlineStr">
        <is>
          <t>KALMAR LÄN</t>
        </is>
      </c>
      <c r="G191" t="inlineStr">
        <is>
          <t>OSKARSHAMN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46258</v>
      </c>
      <c r="F192" t="inlineStr">
        <is>
          <t>KALMAR LÄN</t>
        </is>
      </c>
      <c r="G192" t="inlineStr">
        <is>
          <t>OSKARSHAMN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46258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46258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46258</v>
      </c>
      <c r="F195" t="inlineStr">
        <is>
          <t>KALMAR LÄN</t>
        </is>
      </c>
      <c r="G195" t="inlineStr">
        <is>
          <t>OSKARSHAMN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46258</v>
      </c>
      <c r="F196" t="inlineStr">
        <is>
          <t>KALMAR LÄN</t>
        </is>
      </c>
      <c r="G196" t="inlineStr">
        <is>
          <t>OSKARSHAMN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46258</v>
      </c>
      <c r="F197" t="inlineStr">
        <is>
          <t>KALMAR LÄN</t>
        </is>
      </c>
      <c r="G197" t="inlineStr">
        <is>
          <t>OSKARSHAMN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46258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46258</v>
      </c>
      <c r="F199" t="inlineStr">
        <is>
          <t>KALMAR LÄN</t>
        </is>
      </c>
      <c r="G199" t="inlineStr">
        <is>
          <t>OSKARSHAMN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46258</v>
      </c>
      <c r="F200" t="inlineStr">
        <is>
          <t>KALMAR LÄN</t>
        </is>
      </c>
      <c r="G200" t="inlineStr">
        <is>
          <t>OSKARSHAMN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46258</v>
      </c>
      <c r="F201" t="inlineStr">
        <is>
          <t>KALMAR LÄN</t>
        </is>
      </c>
      <c r="G201" t="inlineStr">
        <is>
          <t>OSKARSHAMN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46258</v>
      </c>
      <c r="F202" t="inlineStr">
        <is>
          <t>KALMAR LÄN</t>
        </is>
      </c>
      <c r="G202" t="inlineStr">
        <is>
          <t>OSKARSHAMN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46258</v>
      </c>
      <c r="F203" t="inlineStr">
        <is>
          <t>KALMAR LÄN</t>
        </is>
      </c>
      <c r="G203" t="inlineStr">
        <is>
          <t>OSKARSHAMN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46258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46258</v>
      </c>
      <c r="F205" t="inlineStr">
        <is>
          <t>KALMAR LÄN</t>
        </is>
      </c>
      <c r="G205" t="inlineStr">
        <is>
          <t>OSKARSHAMN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46258</v>
      </c>
      <c r="F206" t="inlineStr">
        <is>
          <t>KALMAR LÄN</t>
        </is>
      </c>
      <c r="G206" t="inlineStr">
        <is>
          <t>OSKARSHAMN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46258</v>
      </c>
      <c r="F207" t="inlineStr">
        <is>
          <t>KALMAR LÄN</t>
        </is>
      </c>
      <c r="G207" t="inlineStr">
        <is>
          <t>OSKARSHAMN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46258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46258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46258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46258</v>
      </c>
      <c r="F211" t="inlineStr">
        <is>
          <t>KALMAR LÄN</t>
        </is>
      </c>
      <c r="G211" t="inlineStr">
        <is>
          <t>OSKARSHAMN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46258</v>
      </c>
      <c r="F212" t="inlineStr">
        <is>
          <t>KALMAR LÄN</t>
        </is>
      </c>
      <c r="G212" t="inlineStr">
        <is>
          <t>OSKARSHAMN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46258</v>
      </c>
      <c r="F213" t="inlineStr">
        <is>
          <t>KALMAR LÄN</t>
        </is>
      </c>
      <c r="G213" t="inlineStr">
        <is>
          <t>OSKARSHAMN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45490</v>
      </c>
      <c r="E214" s="1" t="n">
        <v>46258</v>
      </c>
      <c r="F214" t="inlineStr">
        <is>
          <t>KALMAR LÄN</t>
        </is>
      </c>
      <c r="G214" t="inlineStr">
        <is>
          <t>OSKARSHAMN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46258</v>
      </c>
      <c r="F215" t="inlineStr">
        <is>
          <t>KALMAR LÄN</t>
        </is>
      </c>
      <c r="G215" t="inlineStr">
        <is>
          <t>OSKARSHAMN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46258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46258</v>
      </c>
      <c r="F217" t="inlineStr">
        <is>
          <t>KALMAR LÄN</t>
        </is>
      </c>
      <c r="G217" t="inlineStr">
        <is>
          <t>OSKARSHAMN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46258</v>
      </c>
      <c r="F218" t="inlineStr">
        <is>
          <t>KALMAR LÄN</t>
        </is>
      </c>
      <c r="G218" t="inlineStr">
        <is>
          <t>OSKARSHAMN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46258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46258</v>
      </c>
      <c r="F220" t="inlineStr">
        <is>
          <t>KALMAR LÄN</t>
        </is>
      </c>
      <c r="G220" t="inlineStr">
        <is>
          <t>OSKARSHAMN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46258</v>
      </c>
      <c r="F221" t="inlineStr">
        <is>
          <t>KALMAR LÄN</t>
        </is>
      </c>
      <c r="G221" t="inlineStr">
        <is>
          <t>OSKARSHAMN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46258</v>
      </c>
      <c r="F222" t="inlineStr">
        <is>
          <t>KALMAR LÄN</t>
        </is>
      </c>
      <c r="G222" t="inlineStr">
        <is>
          <t>OSKARSHAMN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46258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44440</v>
      </c>
      <c r="E224" s="1" t="n">
        <v>46258</v>
      </c>
      <c r="F224" t="inlineStr">
        <is>
          <t>KALMAR LÄN</t>
        </is>
      </c>
      <c r="G224" t="inlineStr">
        <is>
          <t>OSKARSHAMN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46258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46258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46258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46258</v>
      </c>
      <c r="F228" t="inlineStr">
        <is>
          <t>KALMAR LÄN</t>
        </is>
      </c>
      <c r="G228" t="inlineStr">
        <is>
          <t>OSKARSHAMN</t>
        </is>
      </c>
      <c r="H228" t="inlineStr">
        <is>
          <t>Kommuner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44621</v>
      </c>
      <c r="E229" s="1" t="n">
        <v>46258</v>
      </c>
      <c r="F229" t="inlineStr">
        <is>
          <t>KALMAR LÄN</t>
        </is>
      </c>
      <c r="G229" t="inlineStr">
        <is>
          <t>OSKARSHAMN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46258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46258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46258</v>
      </c>
      <c r="F232" t="inlineStr">
        <is>
          <t>KALMAR LÄN</t>
        </is>
      </c>
      <c r="G232" t="inlineStr">
        <is>
          <t>OSKARSHAMN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46258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45482</v>
      </c>
      <c r="E234" s="1" t="n">
        <v>46258</v>
      </c>
      <c r="F234" t="inlineStr">
        <is>
          <t>KALMAR LÄN</t>
        </is>
      </c>
      <c r="G234" t="inlineStr">
        <is>
          <t>OSKARSHAMN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22801-2024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45448</v>
      </c>
      <c r="E235" s="1" t="n">
        <v>46258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46258</v>
      </c>
      <c r="F236" t="inlineStr">
        <is>
          <t>KALMAR LÄN</t>
        </is>
      </c>
      <c r="G236" t="inlineStr">
        <is>
          <t>OSKARSHAMN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46258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44547</v>
      </c>
      <c r="E238" s="1" t="n">
        <v>46258</v>
      </c>
      <c r="F238" t="inlineStr">
        <is>
          <t>KALMAR LÄN</t>
        </is>
      </c>
      <c r="G238" t="inlineStr">
        <is>
          <t>OSKARSHAMN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46258</v>
      </c>
      <c r="F239" t="inlineStr">
        <is>
          <t>KALMAR LÄN</t>
        </is>
      </c>
      <c r="G239" t="inlineStr">
        <is>
          <t>OSKARSHAMN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46258</v>
      </c>
      <c r="F240" t="inlineStr">
        <is>
          <t>KALMAR LÄN</t>
        </is>
      </c>
      <c r="G240" t="inlineStr">
        <is>
          <t>OSKARSHAMN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44945</v>
      </c>
      <c r="E241" s="1" t="n">
        <v>46258</v>
      </c>
      <c r="F241" t="inlineStr">
        <is>
          <t>KALMAR LÄN</t>
        </is>
      </c>
      <c r="G241" t="inlineStr">
        <is>
          <t>OSKARSHAMN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46258</v>
      </c>
      <c r="F242" t="inlineStr">
        <is>
          <t>KALMAR LÄN</t>
        </is>
      </c>
      <c r="G242" t="inlineStr">
        <is>
          <t>OSKARSHAMN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46258</v>
      </c>
      <c r="F243" t="inlineStr">
        <is>
          <t>KALMAR LÄN</t>
        </is>
      </c>
      <c r="G243" t="inlineStr">
        <is>
          <t>OSKARSHAMN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44987</v>
      </c>
      <c r="E244" s="1" t="n">
        <v>46258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46258</v>
      </c>
      <c r="F245" t="inlineStr">
        <is>
          <t>KALMAR LÄN</t>
        </is>
      </c>
      <c r="G245" t="inlineStr">
        <is>
          <t>OSKARSHAMN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46258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46258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46258</v>
      </c>
      <c r="F248" t="inlineStr">
        <is>
          <t>KALMAR LÄN</t>
        </is>
      </c>
      <c r="G248" t="inlineStr">
        <is>
          <t>OSKARSHAMN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46258</v>
      </c>
      <c r="F249" t="inlineStr">
        <is>
          <t>KALMAR LÄN</t>
        </is>
      </c>
      <c r="G249" t="inlineStr">
        <is>
          <t>OSKARSHAMN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46258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46258</v>
      </c>
      <c r="F251" t="inlineStr">
        <is>
          <t>KALMAR LÄN</t>
        </is>
      </c>
      <c r="G251" t="inlineStr">
        <is>
          <t>OSKARSHAMN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45147</v>
      </c>
      <c r="E252" s="1" t="n">
        <v>46258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46258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45207</v>
      </c>
      <c r="E254" s="1" t="n">
        <v>46258</v>
      </c>
      <c r="F254" t="inlineStr">
        <is>
          <t>KALMAR LÄN</t>
        </is>
      </c>
      <c r="G254" t="inlineStr">
        <is>
          <t>OSKARSHAMN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46258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44621</v>
      </c>
      <c r="E256" s="1" t="n">
        <v>46258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45314</v>
      </c>
      <c r="E257" s="1" t="n">
        <v>46258</v>
      </c>
      <c r="F257" t="inlineStr">
        <is>
          <t>KALMAR LÄN</t>
        </is>
      </c>
      <c r="G257" t="inlineStr">
        <is>
          <t>OSKARSHAMN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46258</v>
      </c>
      <c r="F258" t="inlineStr">
        <is>
          <t>KALMAR LÄN</t>
        </is>
      </c>
      <c r="G258" t="inlineStr">
        <is>
          <t>OSKARSHAMN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46258</v>
      </c>
      <c r="F259" t="inlineStr">
        <is>
          <t>KALMAR LÄN</t>
        </is>
      </c>
      <c r="G259" t="inlineStr">
        <is>
          <t>OSKARSHAMN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46258</v>
      </c>
      <c r="F260" t="inlineStr">
        <is>
          <t>KALMAR LÄN</t>
        </is>
      </c>
      <c r="G260" t="inlineStr">
        <is>
          <t>OSKARSHAMN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46258</v>
      </c>
      <c r="F261" t="inlineStr">
        <is>
          <t>KALMAR LÄN</t>
        </is>
      </c>
      <c r="G261" t="inlineStr">
        <is>
          <t>OSKARSHAMN</t>
        </is>
      </c>
      <c r="I261" t="n">
        <v>11.6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44981</v>
      </c>
      <c r="E262" s="1" t="n">
        <v>46258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46258</v>
      </c>
      <c r="F263" t="inlineStr">
        <is>
          <t>KALMAR LÄN</t>
        </is>
      </c>
      <c r="G263" t="inlineStr">
        <is>
          <t>OSKARSHAMN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46258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46258</v>
      </c>
      <c r="F265" t="inlineStr">
        <is>
          <t>KALMAR LÄN</t>
        </is>
      </c>
      <c r="G265" t="inlineStr">
        <is>
          <t>OSKARSHAMN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44980</v>
      </c>
      <c r="E266" s="1" t="n">
        <v>46258</v>
      </c>
      <c r="F266" t="inlineStr">
        <is>
          <t>KALMAR LÄN</t>
        </is>
      </c>
      <c r="G266" t="inlineStr">
        <is>
          <t>OSKARSHAMN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46258</v>
      </c>
      <c r="F267" t="inlineStr">
        <is>
          <t>KALMAR LÄN</t>
        </is>
      </c>
      <c r="G267" t="inlineStr">
        <is>
          <t>OSKARSHAMN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46258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46258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46258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46258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46258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46258</v>
      </c>
      <c r="F273" t="inlineStr">
        <is>
          <t>KALMAR LÄN</t>
        </is>
      </c>
      <c r="G273" t="inlineStr">
        <is>
          <t>OSKARSHAMN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46258</v>
      </c>
      <c r="F274" t="inlineStr">
        <is>
          <t>KALMAR LÄN</t>
        </is>
      </c>
      <c r="G274" t="inlineStr">
        <is>
          <t>OSKARSHAMN</t>
        </is>
      </c>
      <c r="H274" t="inlineStr">
        <is>
          <t>Övriga Aktiebolag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4097-2024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45323</v>
      </c>
      <c r="E275" s="1" t="n">
        <v>46258</v>
      </c>
      <c r="F275" t="inlineStr">
        <is>
          <t>KALMAR LÄN</t>
        </is>
      </c>
      <c r="G275" t="inlineStr">
        <is>
          <t>OSKARSHAMN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44664</v>
      </c>
      <c r="E276" s="1" t="n">
        <v>46258</v>
      </c>
      <c r="F276" t="inlineStr">
        <is>
          <t>KALMAR LÄN</t>
        </is>
      </c>
      <c r="G276" t="inlineStr">
        <is>
          <t>OSKARSHAMN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46258</v>
      </c>
      <c r="F277" t="inlineStr">
        <is>
          <t>KALMAR LÄN</t>
        </is>
      </c>
      <c r="G277" t="inlineStr">
        <is>
          <t>OSKARSHAMN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45092</v>
      </c>
      <c r="E278" s="1" t="n">
        <v>46258</v>
      </c>
      <c r="F278" t="inlineStr">
        <is>
          <t>KALMAR LÄN</t>
        </is>
      </c>
      <c r="G278" t="inlineStr">
        <is>
          <t>OSKARSHAMN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46258</v>
      </c>
      <c r="F279" t="inlineStr">
        <is>
          <t>KALMAR LÄN</t>
        </is>
      </c>
      <c r="G279" t="inlineStr">
        <is>
          <t>OSKARSHAMN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44663</v>
      </c>
      <c r="E280" s="1" t="n">
        <v>46258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46258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44455</v>
      </c>
      <c r="E282" s="1" t="n">
        <v>46258</v>
      </c>
      <c r="F282" t="inlineStr">
        <is>
          <t>KALMAR LÄN</t>
        </is>
      </c>
      <c r="G282" t="inlineStr">
        <is>
          <t>OSKARSHAMN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46258</v>
      </c>
      <c r="F283" t="inlineStr">
        <is>
          <t>KALMAR LÄN</t>
        </is>
      </c>
      <c r="G283" t="inlineStr">
        <is>
          <t>OSKARSHAMN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45223</v>
      </c>
      <c r="E284" s="1" t="n">
        <v>46258</v>
      </c>
      <c r="F284" t="inlineStr">
        <is>
          <t>KALMAR LÄN</t>
        </is>
      </c>
      <c r="G284" t="inlineStr">
        <is>
          <t>OSKARSHAMN</t>
        </is>
      </c>
      <c r="I284" t="n">
        <v>15.3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46258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44995</v>
      </c>
      <c r="E286" s="1" t="n">
        <v>46258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44820</v>
      </c>
      <c r="E287" s="1" t="n">
        <v>46258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46258</v>
      </c>
      <c r="F288" t="inlineStr">
        <is>
          <t>KALMAR LÄN</t>
        </is>
      </c>
      <c r="G288" t="inlineStr">
        <is>
          <t>OSKARSHAMN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46258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46258</v>
      </c>
      <c r="F290" t="inlineStr">
        <is>
          <t>KALMAR LÄN</t>
        </is>
      </c>
      <c r="G290" t="inlineStr">
        <is>
          <t>OSKARSHAMN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45323</v>
      </c>
      <c r="E291" s="1" t="n">
        <v>46258</v>
      </c>
      <c r="F291" t="inlineStr">
        <is>
          <t>KALMAR LÄN</t>
        </is>
      </c>
      <c r="G291" t="inlineStr">
        <is>
          <t>OSKARSHAMN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46258</v>
      </c>
      <c r="F292" t="inlineStr">
        <is>
          <t>KALMAR LÄN</t>
        </is>
      </c>
      <c r="G292" t="inlineStr">
        <is>
          <t>OSKARSHAMN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45043</v>
      </c>
      <c r="E293" s="1" t="n">
        <v>46258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46258</v>
      </c>
      <c r="F294" t="inlineStr">
        <is>
          <t>KALMAR LÄN</t>
        </is>
      </c>
      <c r="G294" t="inlineStr">
        <is>
          <t>OSKARSHAMN</t>
        </is>
      </c>
      <c r="I294" t="n">
        <v>12.9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46258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46258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46258</v>
      </c>
      <c r="F297" t="inlineStr">
        <is>
          <t>KALMAR LÄN</t>
        </is>
      </c>
      <c r="G297" t="inlineStr">
        <is>
          <t>OSKARSHAMN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61318-2022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44915</v>
      </c>
      <c r="E298" s="1" t="n">
        <v>46258</v>
      </c>
      <c r="F298" t="inlineStr">
        <is>
          <t>KALMAR LÄN</t>
        </is>
      </c>
      <c r="G298" t="inlineStr">
        <is>
          <t>OSKARSHAMN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45254</v>
      </c>
      <c r="E299" s="1" t="n">
        <v>46258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44602</v>
      </c>
      <c r="E300" s="1" t="n">
        <v>46258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46258</v>
      </c>
      <c r="F301" t="inlineStr">
        <is>
          <t>KALMAR LÄN</t>
        </is>
      </c>
      <c r="G301" t="inlineStr">
        <is>
          <t>OSKARSHAMN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46258</v>
      </c>
      <c r="F302" t="inlineStr">
        <is>
          <t>KALMAR LÄN</t>
        </is>
      </c>
      <c r="G302" t="inlineStr">
        <is>
          <t>OSKARSHAMN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44621</v>
      </c>
      <c r="E303" s="1" t="n">
        <v>46258</v>
      </c>
      <c r="F303" t="inlineStr">
        <is>
          <t>KALMAR LÄN</t>
        </is>
      </c>
      <c r="G303" t="inlineStr">
        <is>
          <t>OSKARSHAMN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46258</v>
      </c>
      <c r="F304" t="inlineStr">
        <is>
          <t>KALMAR LÄN</t>
        </is>
      </c>
      <c r="G304" t="inlineStr">
        <is>
          <t>OSKARSHAMN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46258</v>
      </c>
      <c r="F305" t="inlineStr">
        <is>
          <t>KALMAR LÄN</t>
        </is>
      </c>
      <c r="G305" t="inlineStr">
        <is>
          <t>OSKARSHAMN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46258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46258</v>
      </c>
      <c r="F307" t="inlineStr">
        <is>
          <t>KALMAR LÄN</t>
        </is>
      </c>
      <c r="G307" t="inlineStr">
        <is>
          <t>OSKARSHAMN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46258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48539-2023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46258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46258</v>
      </c>
      <c r="F310" t="inlineStr">
        <is>
          <t>KALMAR LÄN</t>
        </is>
      </c>
      <c r="G310" t="inlineStr">
        <is>
          <t>OSKARSHAMN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46258</v>
      </c>
      <c r="F311" t="inlineStr">
        <is>
          <t>KALMAR LÄN</t>
        </is>
      </c>
      <c r="G311" t="inlineStr">
        <is>
          <t>OSKARSHAMN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46258</v>
      </c>
      <c r="F312" t="inlineStr">
        <is>
          <t>KALMAR LÄN</t>
        </is>
      </c>
      <c r="G312" t="inlineStr">
        <is>
          <t>OSKARSHAMN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46258</v>
      </c>
      <c r="F313" t="inlineStr">
        <is>
          <t>KALMAR LÄN</t>
        </is>
      </c>
      <c r="G313" t="inlineStr">
        <is>
          <t>OSKARSHAMN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46258</v>
      </c>
      <c r="F314" t="inlineStr">
        <is>
          <t>KALMAR LÄN</t>
        </is>
      </c>
      <c r="G314" t="inlineStr">
        <is>
          <t>OSKARSHAMN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46258</v>
      </c>
      <c r="F315" t="inlineStr">
        <is>
          <t>KALMAR LÄN</t>
        </is>
      </c>
      <c r="G315" t="inlineStr">
        <is>
          <t>OSKARSHAMN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46258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46258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46258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46258</v>
      </c>
      <c r="F319" t="inlineStr">
        <is>
          <t>KALMAR LÄN</t>
        </is>
      </c>
      <c r="G319" t="inlineStr">
        <is>
          <t>OSKARSHAMN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46258</v>
      </c>
      <c r="F320" t="inlineStr">
        <is>
          <t>KALMAR LÄN</t>
        </is>
      </c>
      <c r="G320" t="inlineStr">
        <is>
          <t>OSKARSHAMN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46258</v>
      </c>
      <c r="F321" t="inlineStr">
        <is>
          <t>KALMAR LÄN</t>
        </is>
      </c>
      <c r="G321" t="inlineStr">
        <is>
          <t>OSKARSHAMN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46258</v>
      </c>
      <c r="F322" t="inlineStr">
        <is>
          <t>KALMAR LÄN</t>
        </is>
      </c>
      <c r="G322" t="inlineStr">
        <is>
          <t>OSKARSHAMN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46258</v>
      </c>
      <c r="F323" t="inlineStr">
        <is>
          <t>KALMAR LÄN</t>
        </is>
      </c>
      <c r="G323" t="inlineStr">
        <is>
          <t>OSKARSHAMN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46258</v>
      </c>
      <c r="F324" t="inlineStr">
        <is>
          <t>KALMAR LÄN</t>
        </is>
      </c>
      <c r="G324" t="inlineStr">
        <is>
          <t>OSKARSHAMN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45369</v>
      </c>
      <c r="E325" s="1" t="n">
        <v>46258</v>
      </c>
      <c r="F325" t="inlineStr">
        <is>
          <t>KALMAR LÄN</t>
        </is>
      </c>
      <c r="G325" t="inlineStr">
        <is>
          <t>OSKARSHAMN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73404-2021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44551</v>
      </c>
      <c r="E326" s="1" t="n">
        <v>46258</v>
      </c>
      <c r="F326" t="inlineStr">
        <is>
          <t>KALMAR LÄN</t>
        </is>
      </c>
      <c r="G326" t="inlineStr">
        <is>
          <t>OSKARSHAMN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45021</v>
      </c>
      <c r="E327" s="1" t="n">
        <v>46258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44817</v>
      </c>
      <c r="E328" s="1" t="n">
        <v>46258</v>
      </c>
      <c r="F328" t="inlineStr">
        <is>
          <t>KALMAR LÄN</t>
        </is>
      </c>
      <c r="G328" t="inlineStr">
        <is>
          <t>OSKARSHAMN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46258</v>
      </c>
      <c r="F329" t="inlineStr">
        <is>
          <t>KALMAR LÄN</t>
        </is>
      </c>
      <c r="G329" t="inlineStr">
        <is>
          <t>OSKARSHAMN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46258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46258</v>
      </c>
      <c r="F331" t="inlineStr">
        <is>
          <t>KALMAR LÄN</t>
        </is>
      </c>
      <c r="G331" t="inlineStr">
        <is>
          <t>OSKARSHAMN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46258</v>
      </c>
      <c r="F332" t="inlineStr">
        <is>
          <t>KALMAR LÄN</t>
        </is>
      </c>
      <c r="G332" t="inlineStr">
        <is>
          <t>OSKARSHAMN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46258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46258</v>
      </c>
      <c r="F334" t="inlineStr">
        <is>
          <t>KALMAR LÄN</t>
        </is>
      </c>
      <c r="G334" t="inlineStr">
        <is>
          <t>OSKARSHAMN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46258</v>
      </c>
      <c r="F335" t="inlineStr">
        <is>
          <t>KALMAR LÄN</t>
        </is>
      </c>
      <c r="G335" t="inlineStr">
        <is>
          <t>OSKARSHAMN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39651-2022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44818</v>
      </c>
      <c r="E336" s="1" t="n">
        <v>46258</v>
      </c>
      <c r="F336" t="inlineStr">
        <is>
          <t>KALMAR LÄN</t>
        </is>
      </c>
      <c r="G336" t="inlineStr">
        <is>
          <t>OSKARSHAMN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45406</v>
      </c>
      <c r="E337" s="1" t="n">
        <v>46258</v>
      </c>
      <c r="F337" t="inlineStr">
        <is>
          <t>KALMAR LÄN</t>
        </is>
      </c>
      <c r="G337" t="inlineStr">
        <is>
          <t>OSKARSHAMN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46258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46258</v>
      </c>
      <c r="F339" t="inlineStr">
        <is>
          <t>KALMAR LÄN</t>
        </is>
      </c>
      <c r="G339" t="inlineStr">
        <is>
          <t>OSKARSHAMN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46258</v>
      </c>
      <c r="F340" t="inlineStr">
        <is>
          <t>KALMAR LÄN</t>
        </is>
      </c>
      <c r="G340" t="inlineStr">
        <is>
          <t>OSKARSHAMN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46258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45056</v>
      </c>
      <c r="E342" s="1" t="n">
        <v>46258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49804-2022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44862</v>
      </c>
      <c r="E343" s="1" t="n">
        <v>46258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45644</v>
      </c>
      <c r="E344" s="1" t="n">
        <v>46258</v>
      </c>
      <c r="F344" t="inlineStr">
        <is>
          <t>KALMAR LÄN</t>
        </is>
      </c>
      <c r="G344" t="inlineStr">
        <is>
          <t>OSKARSHAMN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46258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46258</v>
      </c>
      <c r="F346" t="inlineStr">
        <is>
          <t>KALMAR LÄN</t>
        </is>
      </c>
      <c r="G346" t="inlineStr">
        <is>
          <t>OSKARSHAMN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46258</v>
      </c>
      <c r="F347" t="inlineStr">
        <is>
          <t>KALMAR LÄN</t>
        </is>
      </c>
      <c r="G347" t="inlineStr">
        <is>
          <t>OSKARSHAMN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44755</v>
      </c>
      <c r="E348" s="1" t="n">
        <v>46258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50572-2024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45601</v>
      </c>
      <c r="E349" s="1" t="n">
        <v>46258</v>
      </c>
      <c r="F349" t="inlineStr">
        <is>
          <t>KALMAR LÄN</t>
        </is>
      </c>
      <c r="G349" t="inlineStr">
        <is>
          <t>OSKARSHAMN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46258</v>
      </c>
      <c r="F350" t="inlineStr">
        <is>
          <t>KALMAR LÄN</t>
        </is>
      </c>
      <c r="G350" t="inlineStr">
        <is>
          <t>OSKARSHAMN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46258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46258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46258</v>
      </c>
      <c r="F353" t="inlineStr">
        <is>
          <t>KALMAR LÄN</t>
        </is>
      </c>
      <c r="G353" t="inlineStr">
        <is>
          <t>OSKARSHAMN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46258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44914</v>
      </c>
      <c r="E355" s="1" t="n">
        <v>46258</v>
      </c>
      <c r="F355" t="inlineStr">
        <is>
          <t>KALMAR LÄN</t>
        </is>
      </c>
      <c r="G355" t="inlineStr">
        <is>
          <t>OSKARSHAMN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46258</v>
      </c>
      <c r="F356" t="inlineStr">
        <is>
          <t>KALMAR LÄN</t>
        </is>
      </c>
      <c r="G356" t="inlineStr">
        <is>
          <t>OSKARSHAMN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46258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46258</v>
      </c>
      <c r="F358" t="inlineStr">
        <is>
          <t>KALMAR LÄN</t>
        </is>
      </c>
      <c r="G358" t="inlineStr">
        <is>
          <t>OSKARSHAMN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44494</v>
      </c>
      <c r="E359" s="1" t="n">
        <v>46258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48582-2021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44452</v>
      </c>
      <c r="E360" s="1" t="n">
        <v>46258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45274</v>
      </c>
      <c r="E361" s="1" t="n">
        <v>46258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44879</v>
      </c>
      <c r="E362" s="1" t="n">
        <v>46258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13729-2023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46258</v>
      </c>
      <c r="F363" t="inlineStr">
        <is>
          <t>KALMAR LÄN</t>
        </is>
      </c>
      <c r="G363" t="inlineStr">
        <is>
          <t>OSKARSHAMN</t>
        </is>
      </c>
      <c r="H363" t="inlineStr">
        <is>
          <t>Övriga Aktiebolag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45526</v>
      </c>
      <c r="E364" s="1" t="n">
        <v>46258</v>
      </c>
      <c r="F364" t="inlineStr">
        <is>
          <t>KALMAR LÄN</t>
        </is>
      </c>
      <c r="G364" t="inlineStr">
        <is>
          <t>OSKARSHAMN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44951</v>
      </c>
      <c r="E365" s="1" t="n">
        <v>46258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44836</v>
      </c>
      <c r="E366" s="1" t="n">
        <v>46258</v>
      </c>
      <c r="F366" t="inlineStr">
        <is>
          <t>KALMAR LÄN</t>
        </is>
      </c>
      <c r="G366" t="inlineStr">
        <is>
          <t>OSKARSHAMN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46258</v>
      </c>
      <c r="F367" t="inlineStr">
        <is>
          <t>KALMAR LÄN</t>
        </is>
      </c>
      <c r="G367" t="inlineStr">
        <is>
          <t>OSKARSHAMN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46258</v>
      </c>
      <c r="F368" t="inlineStr">
        <is>
          <t>KALMAR LÄN</t>
        </is>
      </c>
      <c r="G368" t="inlineStr">
        <is>
          <t>OSKARSHAMN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46258</v>
      </c>
      <c r="F369" t="inlineStr">
        <is>
          <t>KALMAR LÄN</t>
        </is>
      </c>
      <c r="G369" t="inlineStr">
        <is>
          <t>OSKARSHAMN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46258</v>
      </c>
      <c r="F370" t="inlineStr">
        <is>
          <t>KALMAR LÄN</t>
        </is>
      </c>
      <c r="G370" t="inlineStr">
        <is>
          <t>OSKARSHAMN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46258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22543-2022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44713</v>
      </c>
      <c r="E372" s="1" t="n">
        <v>46258</v>
      </c>
      <c r="F372" t="inlineStr">
        <is>
          <t>KALMAR LÄN</t>
        </is>
      </c>
      <c r="G372" t="inlineStr">
        <is>
          <t>OSKARSHAMN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46258</v>
      </c>
      <c r="F373" t="inlineStr">
        <is>
          <t>KALMAR LÄN</t>
        </is>
      </c>
      <c r="G373" t="inlineStr">
        <is>
          <t>OSKARSHAMN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46258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26132-2023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45091</v>
      </c>
      <c r="E375" s="1" t="n">
        <v>46258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46258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62995-2025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46258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46258</v>
      </c>
      <c r="F378" t="inlineStr">
        <is>
          <t>KALMAR LÄN</t>
        </is>
      </c>
      <c r="G378" t="inlineStr">
        <is>
          <t>OSKARSHAMN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46258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46258</v>
      </c>
      <c r="F380" t="inlineStr">
        <is>
          <t>KALMAR LÄN</t>
        </is>
      </c>
      <c r="G380" t="inlineStr">
        <is>
          <t>OSKARSHAMN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44900</v>
      </c>
      <c r="E381" s="1" t="n">
        <v>46258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46258</v>
      </c>
      <c r="F382" t="inlineStr">
        <is>
          <t>KALMAR LÄN</t>
        </is>
      </c>
      <c r="G382" t="inlineStr">
        <is>
          <t>OSKARSHAMN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46258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46258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46258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46258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46258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46258</v>
      </c>
      <c r="F388" t="inlineStr">
        <is>
          <t>KALMAR LÄN</t>
        </is>
      </c>
      <c r="G388" t="inlineStr">
        <is>
          <t>OSKARSHAMN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71342-2021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46258</v>
      </c>
      <c r="F389" t="inlineStr">
        <is>
          <t>KALMAR LÄN</t>
        </is>
      </c>
      <c r="G389" t="inlineStr">
        <is>
          <t>OSKARSHAMN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46392-2021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44443</v>
      </c>
      <c r="E390" s="1" t="n">
        <v>46258</v>
      </c>
      <c r="F390" t="inlineStr">
        <is>
          <t>KALMAR LÄN</t>
        </is>
      </c>
      <c r="G390" t="inlineStr">
        <is>
          <t>OSKARSHAMN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46258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46258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7962-2022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44608</v>
      </c>
      <c r="E393" s="1" t="n">
        <v>46258</v>
      </c>
      <c r="F393" t="inlineStr">
        <is>
          <t>KALMAR LÄN</t>
        </is>
      </c>
      <c r="G393" t="inlineStr">
        <is>
          <t>OSKARSHAMN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46258</v>
      </c>
      <c r="F394" t="inlineStr">
        <is>
          <t>KALMAR LÄN</t>
        </is>
      </c>
      <c r="G394" t="inlineStr">
        <is>
          <t>OSKARSHAMN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46258</v>
      </c>
      <c r="F395" t="inlineStr">
        <is>
          <t>KALMAR LÄN</t>
        </is>
      </c>
      <c r="G395" t="inlineStr">
        <is>
          <t>OSKARSHAMN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46258</v>
      </c>
      <c r="F396" t="inlineStr">
        <is>
          <t>KALMAR LÄN</t>
        </is>
      </c>
      <c r="G396" t="inlineStr">
        <is>
          <t>OSKARSHAMN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45256</v>
      </c>
      <c r="E397" s="1" t="n">
        <v>46258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46258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44620</v>
      </c>
      <c r="E399" s="1" t="n">
        <v>46258</v>
      </c>
      <c r="F399" t="inlineStr">
        <is>
          <t>KALMAR LÄN</t>
        </is>
      </c>
      <c r="G399" t="inlineStr">
        <is>
          <t>OSKARSHAMN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46258</v>
      </c>
      <c r="F400" t="inlineStr">
        <is>
          <t>KALMAR LÄN</t>
        </is>
      </c>
      <c r="G400" t="inlineStr">
        <is>
          <t>OSKARSHAMN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51383-2021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44461</v>
      </c>
      <c r="E401" s="1" t="n">
        <v>46258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46258</v>
      </c>
      <c r="F402" t="inlineStr">
        <is>
          <t>KALMAR LÄN</t>
        </is>
      </c>
      <c r="G402" t="inlineStr">
        <is>
          <t>OSKARSHAMN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46258</v>
      </c>
      <c r="F403" t="inlineStr">
        <is>
          <t>KALMAR LÄN</t>
        </is>
      </c>
      <c r="G403" t="inlineStr">
        <is>
          <t>OSKARSHAMN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46258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46258</v>
      </c>
      <c r="F405" t="inlineStr">
        <is>
          <t>KALMAR LÄN</t>
        </is>
      </c>
      <c r="G405" t="inlineStr">
        <is>
          <t>OSKARSHAMN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41536-2024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45560</v>
      </c>
      <c r="E406" s="1" t="n">
        <v>46258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46258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45240</v>
      </c>
      <c r="E408" s="1" t="n">
        <v>46258</v>
      </c>
      <c r="F408" t="inlineStr">
        <is>
          <t>KALMAR LÄN</t>
        </is>
      </c>
      <c r="G408" t="inlineStr">
        <is>
          <t>OSKARSHAMN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46258</v>
      </c>
      <c r="F409" t="inlineStr">
        <is>
          <t>KALMAR LÄN</t>
        </is>
      </c>
      <c r="G409" t="inlineStr">
        <is>
          <t>OSKARSHAMN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46258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57483-2021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46258</v>
      </c>
      <c r="F411" t="inlineStr">
        <is>
          <t>KALMAR LÄN</t>
        </is>
      </c>
      <c r="G411" t="inlineStr">
        <is>
          <t>OSKARSHAMN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46258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46258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46258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46258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46258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45317</v>
      </c>
      <c r="E417" s="1" t="n">
        <v>46258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15525-2026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46106</v>
      </c>
      <c r="E418" s="1" t="n">
        <v>46258</v>
      </c>
      <c r="F418" t="inlineStr">
        <is>
          <t>KALMAR LÄN</t>
        </is>
      </c>
      <c r="G418" t="inlineStr">
        <is>
          <t>OSKARSHAMN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46258</v>
      </c>
      <c r="F419" t="inlineStr">
        <is>
          <t>KALMAR LÄN</t>
        </is>
      </c>
      <c r="G419" t="inlineStr">
        <is>
          <t>OSKARSHAMN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13204-2024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45386</v>
      </c>
      <c r="E420" s="1" t="n">
        <v>46258</v>
      </c>
      <c r="F420" t="inlineStr">
        <is>
          <t>KALMAR LÄN</t>
        </is>
      </c>
      <c r="G420" t="inlineStr">
        <is>
          <t>OSKARSHAMN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46258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46258</v>
      </c>
      <c r="F422" t="inlineStr">
        <is>
          <t>KALMAR LÄN</t>
        </is>
      </c>
      <c r="G422" t="inlineStr">
        <is>
          <t>OSKARSHAMN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46258</v>
      </c>
      <c r="F423" t="inlineStr">
        <is>
          <t>KALMAR LÄN</t>
        </is>
      </c>
      <c r="G423" t="inlineStr">
        <is>
          <t>OSKARSHAMN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46258</v>
      </c>
      <c r="F424" t="inlineStr">
        <is>
          <t>KALMAR LÄN</t>
        </is>
      </c>
      <c r="G424" t="inlineStr">
        <is>
          <t>OSKARSHAMN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45056</v>
      </c>
      <c r="E425" s="1" t="n">
        <v>46258</v>
      </c>
      <c r="F425" t="inlineStr">
        <is>
          <t>KALMAR LÄN</t>
        </is>
      </c>
      <c r="G425" t="inlineStr">
        <is>
          <t>OSKARSHAMN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44446</v>
      </c>
      <c r="E426" s="1" t="n">
        <v>46258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46258</v>
      </c>
      <c r="F427" t="inlineStr">
        <is>
          <t>KALMAR LÄN</t>
        </is>
      </c>
      <c r="G427" t="inlineStr">
        <is>
          <t>OSKARSHAMN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46258</v>
      </c>
      <c r="F428" t="inlineStr">
        <is>
          <t>KALMAR LÄN</t>
        </is>
      </c>
      <c r="G428" t="inlineStr">
        <is>
          <t>OSKARSHAMN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45448</v>
      </c>
      <c r="E429" s="1" t="n">
        <v>46258</v>
      </c>
      <c r="F429" t="inlineStr">
        <is>
          <t>KALMAR LÄN</t>
        </is>
      </c>
      <c r="G429" t="inlineStr">
        <is>
          <t>OSKARSHAMN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46114</v>
      </c>
      <c r="E430" s="1" t="n">
        <v>46258</v>
      </c>
      <c r="F430" t="inlineStr">
        <is>
          <t>KALMAR LÄN</t>
        </is>
      </c>
      <c r="G430" t="inlineStr">
        <is>
          <t>OSKARSHAMN</t>
        </is>
      </c>
      <c r="H430" t="inlineStr">
        <is>
          <t>Kommuner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46258</v>
      </c>
      <c r="F431" t="inlineStr">
        <is>
          <t>KALMAR LÄN</t>
        </is>
      </c>
      <c r="G431" t="inlineStr">
        <is>
          <t>OSKARSHAMN</t>
        </is>
      </c>
      <c r="H431" t="inlineStr">
        <is>
          <t>Kommuner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46258</v>
      </c>
      <c r="F432" t="inlineStr">
        <is>
          <t>KALMAR LÄN</t>
        </is>
      </c>
      <c r="G432" t="inlineStr">
        <is>
          <t>OSKARSHAMN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46258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46199</v>
      </c>
      <c r="E434" s="1" t="n">
        <v>46258</v>
      </c>
      <c r="F434" t="inlineStr">
        <is>
          <t>KALMAR LÄN</t>
        </is>
      </c>
      <c r="G434" t="inlineStr">
        <is>
          <t>OSKARSHAMN</t>
        </is>
      </c>
      <c r="H434" t="inlineStr">
        <is>
          <t>Kommuner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46258</v>
      </c>
      <c r="F435" t="inlineStr">
        <is>
          <t>KALMAR LÄN</t>
        </is>
      </c>
      <c r="G435" t="inlineStr">
        <is>
          <t>OSKARSHAMN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45240</v>
      </c>
      <c r="E436" s="1" t="n">
        <v>46258</v>
      </c>
      <c r="F436" t="inlineStr">
        <is>
          <t>KALMAR LÄN</t>
        </is>
      </c>
      <c r="G436" t="inlineStr">
        <is>
          <t>OSKARSHAMN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46258</v>
      </c>
      <c r="F437" t="inlineStr">
        <is>
          <t>KALMAR LÄN</t>
        </is>
      </c>
      <c r="G437" t="inlineStr">
        <is>
          <t>OSKARSHAMN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46258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46258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46258</v>
      </c>
      <c r="F440" t="inlineStr">
        <is>
          <t>KALMAR LÄN</t>
        </is>
      </c>
      <c r="G440" t="inlineStr">
        <is>
          <t>OSKARSHAMN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46258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46258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46258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18978-2026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46128</v>
      </c>
      <c r="E444" s="1" t="n">
        <v>46258</v>
      </c>
      <c r="F444" t="inlineStr">
        <is>
          <t>KALMAR LÄN</t>
        </is>
      </c>
      <c r="G444" t="inlineStr">
        <is>
          <t>OSKARSHAMN</t>
        </is>
      </c>
      <c r="H444" t="inlineStr">
        <is>
          <t>Kommuner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46258</v>
      </c>
      <c r="F445" t="inlineStr">
        <is>
          <t>KALMAR LÄN</t>
        </is>
      </c>
      <c r="G445" t="inlineStr">
        <is>
          <t>OSKARSHAMN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46258</v>
      </c>
      <c r="F446" t="inlineStr">
        <is>
          <t>KALMAR LÄN</t>
        </is>
      </c>
      <c r="G446" t="inlineStr">
        <is>
          <t>OSKARSHAMN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46258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46258</v>
      </c>
      <c r="F448" t="inlineStr">
        <is>
          <t>KALMAR LÄN</t>
        </is>
      </c>
      <c r="G448" t="inlineStr">
        <is>
          <t>OSKARSHAMN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46258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28100-2026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46195</v>
      </c>
      <c r="E450" s="1" t="n">
        <v>46258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46258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46258</v>
      </c>
      <c r="F452" t="inlineStr">
        <is>
          <t>KALMAR LÄN</t>
        </is>
      </c>
      <c r="G452" t="inlineStr">
        <is>
          <t>OSKARSHAMN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46243</v>
      </c>
      <c r="E453" s="1" t="n">
        <v>46258</v>
      </c>
      <c r="F453" t="inlineStr">
        <is>
          <t>KALMAR LÄN</t>
        </is>
      </c>
      <c r="G453" t="inlineStr">
        <is>
          <t>OSKARSHAMN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45625</v>
      </c>
      <c r="E454" s="1" t="n">
        <v>46258</v>
      </c>
      <c r="F454" t="inlineStr">
        <is>
          <t>KALMAR LÄN</t>
        </is>
      </c>
      <c r="G454" t="inlineStr">
        <is>
          <t>OSKARSHAMN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25867-2022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44733</v>
      </c>
      <c r="E455" s="1" t="n">
        <v>46258</v>
      </c>
      <c r="F455" t="inlineStr">
        <is>
          <t>KALMAR LÄN</t>
        </is>
      </c>
      <c r="G455" t="inlineStr">
        <is>
          <t>OSKARSHAMN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46258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45385</v>
      </c>
      <c r="E457" s="1" t="n">
        <v>46258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46258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45218</v>
      </c>
      <c r="E459" s="1" t="n">
        <v>46258</v>
      </c>
      <c r="F459" t="inlineStr">
        <is>
          <t>KALMAR LÄN</t>
        </is>
      </c>
      <c r="G459" t="inlineStr">
        <is>
          <t>OSKARSHAMN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46258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46258</v>
      </c>
      <c r="F461" t="inlineStr">
        <is>
          <t>KALMAR LÄN</t>
        </is>
      </c>
      <c r="G461" t="inlineStr">
        <is>
          <t>OSKARSHAMN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45034</v>
      </c>
      <c r="E462" s="1" t="n">
        <v>46258</v>
      </c>
      <c r="F462" t="inlineStr">
        <is>
          <t>KALMAR LÄN</t>
        </is>
      </c>
      <c r="G462" t="inlineStr">
        <is>
          <t>OSKARSHAMN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45490</v>
      </c>
      <c r="E463" s="1" t="n">
        <v>46258</v>
      </c>
      <c r="F463" t="inlineStr">
        <is>
          <t>KALMAR LÄN</t>
        </is>
      </c>
      <c r="G463" t="inlineStr">
        <is>
          <t>OSKARSHAMN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46258</v>
      </c>
      <c r="F464" t="inlineStr">
        <is>
          <t>KALMAR LÄN</t>
        </is>
      </c>
      <c r="G464" t="inlineStr">
        <is>
          <t>OSKARSHAMN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46258</v>
      </c>
      <c r="F465" t="inlineStr">
        <is>
          <t>KALMAR LÄN</t>
        </is>
      </c>
      <c r="G465" t="inlineStr">
        <is>
          <t>OSKARSHAMN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46258</v>
      </c>
      <c r="F466" t="inlineStr">
        <is>
          <t>KALMAR LÄN</t>
        </is>
      </c>
      <c r="G466" t="inlineStr">
        <is>
          <t>OSKARSHAMN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46258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46258</v>
      </c>
      <c r="F468" t="inlineStr">
        <is>
          <t>KALMAR LÄN</t>
        </is>
      </c>
      <c r="G468" t="inlineStr">
        <is>
          <t>OSKARSHAMN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46258</v>
      </c>
      <c r="F469" t="inlineStr">
        <is>
          <t>KALMAR LÄN</t>
        </is>
      </c>
      <c r="G469" t="inlineStr">
        <is>
          <t>OSKARSHAMN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46258</v>
      </c>
      <c r="F470" t="inlineStr">
        <is>
          <t>KALMAR LÄN</t>
        </is>
      </c>
      <c r="G470" t="inlineStr">
        <is>
          <t>OSKARSHAMN</t>
        </is>
      </c>
      <c r="I470" t="n">
        <v>15.3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46258</v>
      </c>
      <c r="F471" t="inlineStr">
        <is>
          <t>KALMAR LÄN</t>
        </is>
      </c>
      <c r="G471" t="inlineStr">
        <is>
          <t>OSKARSHAMN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59002-2021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44490</v>
      </c>
      <c r="E472" s="1" t="n">
        <v>46258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46258</v>
      </c>
      <c r="F473" t="inlineStr">
        <is>
          <t>KALMAR LÄN</t>
        </is>
      </c>
      <c r="G473" t="inlineStr">
        <is>
          <t>OSKARSHAMN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46258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46258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46258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46258</v>
      </c>
      <c r="F477" t="inlineStr">
        <is>
          <t>KALMAR LÄN</t>
        </is>
      </c>
      <c r="G477" t="inlineStr">
        <is>
          <t>OSKARSHAMN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46258</v>
      </c>
      <c r="F478" t="inlineStr">
        <is>
          <t>KALMAR LÄN</t>
        </is>
      </c>
      <c r="G478" t="inlineStr">
        <is>
          <t>OSKARSHAMN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46258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10424-2025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46258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46258</v>
      </c>
      <c r="F481" t="inlineStr">
        <is>
          <t>KALMAR LÄN</t>
        </is>
      </c>
      <c r="G481" t="inlineStr">
        <is>
          <t>OSKARSHAMN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46258</v>
      </c>
      <c r="F482" t="inlineStr">
        <is>
          <t>KALMAR LÄN</t>
        </is>
      </c>
      <c r="G482" t="inlineStr">
        <is>
          <t>OSKARSHAMN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45519</v>
      </c>
      <c r="E483" s="1" t="n">
        <v>46258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46258</v>
      </c>
      <c r="F484" t="inlineStr">
        <is>
          <t>KALMAR LÄN</t>
        </is>
      </c>
      <c r="G484" t="inlineStr">
        <is>
          <t>OSKARSHAMN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45908</v>
      </c>
      <c r="E485" s="1" t="n">
        <v>46258</v>
      </c>
      <c r="F485" t="inlineStr">
        <is>
          <t>KALMAR LÄN</t>
        </is>
      </c>
      <c r="G485" t="inlineStr">
        <is>
          <t>OSKARSHAMN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46258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46258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46258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46258</v>
      </c>
      <c r="F489" t="inlineStr">
        <is>
          <t>KALMAR LÄN</t>
        </is>
      </c>
      <c r="G489" t="inlineStr">
        <is>
          <t>OSKARSHAMN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46258</v>
      </c>
      <c r="F490" t="inlineStr">
        <is>
          <t>KALMAR LÄN</t>
        </is>
      </c>
      <c r="G490" t="inlineStr">
        <is>
          <t>OSKARSHAMN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45490</v>
      </c>
      <c r="E491" s="1" t="n">
        <v>46258</v>
      </c>
      <c r="F491" t="inlineStr">
        <is>
          <t>KALMAR LÄN</t>
        </is>
      </c>
      <c r="G491" t="inlineStr">
        <is>
          <t>OSKARSHAMN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46258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46258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46258</v>
      </c>
      <c r="F494" t="inlineStr">
        <is>
          <t>KALMAR LÄN</t>
        </is>
      </c>
      <c r="G494" t="inlineStr">
        <is>
          <t>OSKARSHAMN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45379</v>
      </c>
      <c r="E495" s="1" t="n">
        <v>46258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46258</v>
      </c>
      <c r="F496" t="inlineStr">
        <is>
          <t>KALMAR LÄN</t>
        </is>
      </c>
      <c r="G496" t="inlineStr">
        <is>
          <t>OSKARSHAMN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45041</v>
      </c>
      <c r="E497" s="1" t="n">
        <v>46258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46258</v>
      </c>
      <c r="F498" t="inlineStr">
        <is>
          <t>KALMAR LÄN</t>
        </is>
      </c>
      <c r="G498" t="inlineStr">
        <is>
          <t>OSKARSHAMN</t>
        </is>
      </c>
      <c r="I498" t="n">
        <v>10.8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46258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45405</v>
      </c>
      <c r="E500" s="1" t="n">
        <v>46258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45405</v>
      </c>
      <c r="E501" s="1" t="n">
        <v>46258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46258</v>
      </c>
      <c r="F502" t="inlineStr">
        <is>
          <t>KALMAR LÄN</t>
        </is>
      </c>
      <c r="G502" t="inlineStr">
        <is>
          <t>OSKARSHAMN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45531</v>
      </c>
      <c r="E503" s="1" t="n">
        <v>46258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46258</v>
      </c>
      <c r="F504" t="inlineStr">
        <is>
          <t>KALMAR LÄN</t>
        </is>
      </c>
      <c r="G504" t="inlineStr">
        <is>
          <t>OSKARSHAMN</t>
        </is>
      </c>
      <c r="H504" t="inlineStr">
        <is>
          <t>Övriga Aktiebolag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46258</v>
      </c>
      <c r="F505" t="inlineStr">
        <is>
          <t>KALMAR LÄN</t>
        </is>
      </c>
      <c r="G505" t="inlineStr">
        <is>
          <t>OSKARSHAMN</t>
        </is>
      </c>
      <c r="I505" t="n">
        <v>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46258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46258</v>
      </c>
      <c r="F507" t="inlineStr">
        <is>
          <t>KALMAR LÄN</t>
        </is>
      </c>
      <c r="G507" t="inlineStr">
        <is>
          <t>OSKARSHAMN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46258</v>
      </c>
      <c r="F508" t="inlineStr">
        <is>
          <t>KALMAR LÄN</t>
        </is>
      </c>
      <c r="G508" t="inlineStr">
        <is>
          <t>OSKARSHAMN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47635-2025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46258</v>
      </c>
      <c r="F509" t="inlineStr">
        <is>
          <t>KALMAR LÄN</t>
        </is>
      </c>
      <c r="G509" t="inlineStr">
        <is>
          <t>OSKARSHAMN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46258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46258</v>
      </c>
      <c r="F511" t="inlineStr">
        <is>
          <t>KALMAR LÄN</t>
        </is>
      </c>
      <c r="G511" t="inlineStr">
        <is>
          <t>OSKARSHAMN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46258</v>
      </c>
      <c r="F512" t="inlineStr">
        <is>
          <t>KALMAR LÄN</t>
        </is>
      </c>
      <c r="G512" t="inlineStr">
        <is>
          <t>OSKARSHAMN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45196</v>
      </c>
      <c r="E513" s="1" t="n">
        <v>46258</v>
      </c>
      <c r="F513" t="inlineStr">
        <is>
          <t>KALMAR LÄN</t>
        </is>
      </c>
      <c r="G513" t="inlineStr">
        <is>
          <t>OSKARSHAMN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46258</v>
      </c>
      <c r="F514" t="inlineStr">
        <is>
          <t>KALMAR LÄN</t>
        </is>
      </c>
      <c r="G514" t="inlineStr">
        <is>
          <t>OSKARSHAMN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46258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46258</v>
      </c>
      <c r="F516" t="inlineStr">
        <is>
          <t>KALMAR LÄN</t>
        </is>
      </c>
      <c r="G516" t="inlineStr">
        <is>
          <t>OSKARSHAMN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46258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46258</v>
      </c>
      <c r="F518" t="inlineStr">
        <is>
          <t>KALMAR LÄN</t>
        </is>
      </c>
      <c r="G518" t="inlineStr">
        <is>
          <t>OSKARSHAMN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46258</v>
      </c>
      <c r="F519" t="inlineStr">
        <is>
          <t>KALMAR LÄN</t>
        </is>
      </c>
      <c r="G519" t="inlineStr">
        <is>
          <t>OSKARSHAMN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38491-2025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45884</v>
      </c>
      <c r="E520" s="1" t="n">
        <v>46258</v>
      </c>
      <c r="F520" t="inlineStr">
        <is>
          <t>KALMAR LÄN</t>
        </is>
      </c>
      <c r="G520" t="inlineStr">
        <is>
          <t>OSKARSHAMN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46258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46258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46258</v>
      </c>
      <c r="F523" t="inlineStr">
        <is>
          <t>KALMAR LÄN</t>
        </is>
      </c>
      <c r="G523" t="inlineStr">
        <is>
          <t>OSKARSHAMN</t>
        </is>
      </c>
      <c r="I523" t="n">
        <v>13.6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46258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45022</v>
      </c>
      <c r="E525" s="1" t="n">
        <v>46258</v>
      </c>
      <c r="F525" t="inlineStr">
        <is>
          <t>KALMAR LÄN</t>
        </is>
      </c>
      <c r="G525" t="inlineStr">
        <is>
          <t>OSKARSHAMN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45348</v>
      </c>
      <c r="E526" s="1" t="n">
        <v>46258</v>
      </c>
      <c r="F526" t="inlineStr">
        <is>
          <t>KALMAR LÄN</t>
        </is>
      </c>
      <c r="G526" t="inlineStr">
        <is>
          <t>OSKARSHAMN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46141</v>
      </c>
      <c r="E527" s="1" t="n">
        <v>46258</v>
      </c>
      <c r="F527" t="inlineStr">
        <is>
          <t>KALMAR LÄN</t>
        </is>
      </c>
      <c r="G527" t="inlineStr">
        <is>
          <t>OSKARSHAMN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46258</v>
      </c>
      <c r="F528" t="inlineStr">
        <is>
          <t>KALMAR LÄN</t>
        </is>
      </c>
      <c r="G528" t="inlineStr">
        <is>
          <t>OSKARSHAMN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55569-2024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45621</v>
      </c>
      <c r="E529" s="1" t="n">
        <v>46258</v>
      </c>
      <c r="F529" t="inlineStr">
        <is>
          <t>KALMAR LÄN</t>
        </is>
      </c>
      <c r="G529" t="inlineStr">
        <is>
          <t>OSKARSHAMN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46258</v>
      </c>
      <c r="F530" t="inlineStr">
        <is>
          <t>KALMAR LÄN</t>
        </is>
      </c>
      <c r="G530" t="inlineStr">
        <is>
          <t>OSKARSHAMN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60401-2024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46258</v>
      </c>
      <c r="F531" t="inlineStr">
        <is>
          <t>KALMAR LÄN</t>
        </is>
      </c>
      <c r="G531" t="inlineStr">
        <is>
          <t>OSKARSHAMN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46258</v>
      </c>
      <c r="F532" t="inlineStr">
        <is>
          <t>KALMAR LÄN</t>
        </is>
      </c>
      <c r="G532" t="inlineStr">
        <is>
          <t>OSKARSHAMN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59075-2021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44489</v>
      </c>
      <c r="E533" s="1" t="n">
        <v>46258</v>
      </c>
      <c r="F533" t="inlineStr">
        <is>
          <t>KALMAR LÄN</t>
        </is>
      </c>
      <c r="G533" t="inlineStr">
        <is>
          <t>OSKARSHAMN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46258</v>
      </c>
      <c r="F534" t="inlineStr">
        <is>
          <t>KALMAR LÄN</t>
        </is>
      </c>
      <c r="G534" t="inlineStr">
        <is>
          <t>OSKARSHAMN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46258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46258</v>
      </c>
      <c r="F536" t="inlineStr">
        <is>
          <t>KALMAR LÄN</t>
        </is>
      </c>
      <c r="G536" t="inlineStr">
        <is>
          <t>OSKARSHAMN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46258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46258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46258</v>
      </c>
      <c r="F539" t="inlineStr">
        <is>
          <t>KALMAR LÄN</t>
        </is>
      </c>
      <c r="G539" t="inlineStr">
        <is>
          <t>OSKARSHAMN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46147</v>
      </c>
      <c r="E540" s="1" t="n">
        <v>46258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46258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46258</v>
      </c>
      <c r="F542" t="inlineStr">
        <is>
          <t>KALMAR LÄN</t>
        </is>
      </c>
      <c r="G542" t="inlineStr">
        <is>
          <t>OSKARSHAMN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58406-2021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44488</v>
      </c>
      <c r="E543" s="1" t="n">
        <v>46258</v>
      </c>
      <c r="F543" t="inlineStr">
        <is>
          <t>KALMAR LÄN</t>
        </is>
      </c>
      <c r="G543" t="inlineStr">
        <is>
          <t>OSKARSHAMN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45709</v>
      </c>
      <c r="E544" s="1" t="n">
        <v>46258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46258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45028</v>
      </c>
      <c r="E546" s="1" t="n">
        <v>46258</v>
      </c>
      <c r="F546" t="inlineStr">
        <is>
          <t>KALMAR LÄN</t>
        </is>
      </c>
      <c r="G546" t="inlineStr">
        <is>
          <t>OSKARSHAMN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46258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46258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46258</v>
      </c>
      <c r="F549" t="inlineStr">
        <is>
          <t>KALMAR LÄN</t>
        </is>
      </c>
      <c r="G549" t="inlineStr">
        <is>
          <t>OSKARSHAMN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46258</v>
      </c>
      <c r="F550" t="inlineStr">
        <is>
          <t>KALMAR LÄN</t>
        </is>
      </c>
      <c r="G550" t="inlineStr">
        <is>
          <t>OSKARSHAMN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46258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46258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46258</v>
      </c>
      <c r="F553" t="inlineStr">
        <is>
          <t>KALMAR LÄN</t>
        </is>
      </c>
      <c r="G553" t="inlineStr">
        <is>
          <t>OSKARSHAMN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46258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46258</v>
      </c>
      <c r="F555" t="inlineStr">
        <is>
          <t>KALMAR LÄN</t>
        </is>
      </c>
      <c r="G555" t="inlineStr">
        <is>
          <t>OSKARSHAMN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46258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43934-2024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46258</v>
      </c>
      <c r="F557" t="inlineStr">
        <is>
          <t>KALMAR LÄN</t>
        </is>
      </c>
      <c r="G557" t="inlineStr">
        <is>
          <t>OSKARSHAMN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45708</v>
      </c>
      <c r="E558" s="1" t="n">
        <v>46258</v>
      </c>
      <c r="F558" t="inlineStr">
        <is>
          <t>KALMAR LÄN</t>
        </is>
      </c>
      <c r="G558" t="inlineStr">
        <is>
          <t>OSKARSHAMN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46258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46258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46258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47956-2023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46258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45526</v>
      </c>
      <c r="E563" s="1" t="n">
        <v>46258</v>
      </c>
      <c r="F563" t="inlineStr">
        <is>
          <t>KALMAR LÄN</t>
        </is>
      </c>
      <c r="G563" t="inlineStr">
        <is>
          <t>OSKARSHAMN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679-2024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46258</v>
      </c>
      <c r="F564" t="inlineStr">
        <is>
          <t>KALMAR LÄN</t>
        </is>
      </c>
      <c r="G564" t="inlineStr">
        <is>
          <t>OSKARSHAMN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4832-2024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45615</v>
      </c>
      <c r="E565" s="1" t="n">
        <v>46258</v>
      </c>
      <c r="F565" t="inlineStr">
        <is>
          <t>KALMAR LÄN</t>
        </is>
      </c>
      <c r="G565" t="inlineStr">
        <is>
          <t>OSKARSHAMN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1910-2023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45078</v>
      </c>
      <c r="E566" s="1" t="n">
        <v>46258</v>
      </c>
      <c r="F566" t="inlineStr">
        <is>
          <t>KALMAR LÄN</t>
        </is>
      </c>
      <c r="G566" t="inlineStr">
        <is>
          <t>OSKARSHAMN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46258</v>
      </c>
      <c r="F567" t="inlineStr">
        <is>
          <t>KALMAR LÄN</t>
        </is>
      </c>
      <c r="G567" t="inlineStr">
        <is>
          <t>OSKARSHAMN</t>
        </is>
      </c>
      <c r="I567" t="n">
        <v>52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46258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6585-2021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44455</v>
      </c>
      <c r="E569" s="1" t="n">
        <v>46258</v>
      </c>
      <c r="F569" t="inlineStr">
        <is>
          <t>KALMAR LÄN</t>
        </is>
      </c>
      <c r="G569" t="inlineStr">
        <is>
          <t>OSKARSHAMN</t>
        </is>
      </c>
      <c r="H569" t="inlineStr">
        <is>
          <t>Sveaskog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46258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46258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46258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46258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46258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46258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46258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46258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46258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46258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46258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46258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46258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46258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46258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46258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46258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46258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2026-08-24T01:51:46Z</dcterms:created>
  <dcterms:modified xmlns:dcterms="http://purl.org/dc/terms/" xmlns:xsi="http://www.w3.org/2001/XMLSchema-instance" xsi:type="dcterms:W3CDTF">2026-08-24T01:51:47Z</dcterms:modified>
</cp:coreProperties>
</file>