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46254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46254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46254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46254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46254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46254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46254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46254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46254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46254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46254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46254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46254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46254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46254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46254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46254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46254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46254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46254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46254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46254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46254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46254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46254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Revlummer</t>
        </is>
      </c>
      <c r="W40">
        <f>HYPERLINK("https://klasma.github.io/Logging_0882/artfynd/A 31144-2023 artfynd.xlsx", "A 31144-2023")</f>
        <v/>
      </c>
      <c r="X40">
        <f>HYPERLINK("https://klasma.github.io/Logging_0882/kartor/A 31144-2023 karta.png", "A 31144-2023")</f>
        <v/>
      </c>
      <c r="Y40">
        <f>HYPERLINK("https://klasma.github.io/Logging_0882/kartor_geotiff/A 31144-2023 georefererad karta.tif", "A 31144-2023")</f>
        <v/>
      </c>
      <c r="AA40">
        <f>HYPERLINK("https://klasma.github.io/Logging_0882/klagomål/A 31144-2023 FSC-klagomål.docx", "A 31144-2023")</f>
        <v/>
      </c>
      <c r="AB40">
        <f>HYPERLINK("https://klasma.github.io/Logging_0882/klagomålsmail/A 31144-2023 FSC-klagomål mail.docx", "A 31144-2023")</f>
        <v/>
      </c>
      <c r="AC40">
        <f>HYPERLINK("https://klasma.github.io/Logging_0882/tillsyn/A 31144-2023 tillsynsbegäran.docx", "A 31144-2023")</f>
        <v/>
      </c>
      <c r="AD40">
        <f>HYPERLINK("https://klasma.github.io/Logging_0882/tillsynsmail/A 31144-2023 tillsynsbegäran mail.docx", "A 31144-2023")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46254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46254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46254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46254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46254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46254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46254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46254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46254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46254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27854-2023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45098</v>
      </c>
      <c r="E52" s="1" t="n">
        <v>46254</v>
      </c>
      <c r="F52" t="inlineStr">
        <is>
          <t>KALMAR LÄN</t>
        </is>
      </c>
      <c r="G52" t="inlineStr">
        <is>
          <t>OSKARSHAMN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Åkerkål</t>
        </is>
      </c>
      <c r="W52">
        <f>HYPERLINK("https://klasma.github.io/Logging_0882/artfynd/A 27854-2023 artfynd.xlsx", "A 27854-2023")</f>
        <v/>
      </c>
      <c r="X52">
        <f>HYPERLINK("https://klasma.github.io/Logging_0882/kartor/A 27854-2023 karta.png", "A 27854-2023")</f>
        <v/>
      </c>
      <c r="Y52">
        <f>HYPERLINK("https://klasma.github.io/Logging_0882/kartor_geotiff/A 27854-2023 georefererad karta.tif", "A 27854-2023")</f>
        <v/>
      </c>
      <c r="AA52">
        <f>HYPERLINK("https://klasma.github.io/Logging_0882/klagomål/A 27854-2023 FSC-klagomål.docx", "A 27854-2023")</f>
        <v/>
      </c>
      <c r="AB52">
        <f>HYPERLINK("https://klasma.github.io/Logging_0882/klagomålsmail/A 27854-2023 FSC-klagomål mail.docx", "A 27854-2023")</f>
        <v/>
      </c>
      <c r="AC52">
        <f>HYPERLINK("https://klasma.github.io/Logging_0882/tillsyn/A 27854-2023 tillsynsbegäran.docx", "A 27854-2023")</f>
        <v/>
      </c>
      <c r="AD52">
        <f>HYPERLINK("https://klasma.github.io/Logging_0882/tillsynsmail/A 27854-2023 tillsynsbegäran mail.docx", "A 27854-2023")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46254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46254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46254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46254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46254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46254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46254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46254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46254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24769-2025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46254</v>
      </c>
      <c r="F62" t="inlineStr">
        <is>
          <t>KALMAR LÄN</t>
        </is>
      </c>
      <c r="G62" t="inlineStr">
        <is>
          <t>OSKARSHAMN</t>
        </is>
      </c>
      <c r="I62" t="n">
        <v>1.7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HYPERLINK("https://klasma.github.io/Logging_0882/artfynd/A 24769-2025 artfynd.xlsx", "A 24769-2025")</f>
        <v/>
      </c>
      <c r="X62">
        <f>HYPERLINK("https://klasma.github.io/Logging_0882/kartor/A 24769-2025 karta.png", "A 24769-2025")</f>
        <v/>
      </c>
      <c r="Y62">
        <f>HYPERLINK("https://klasma.github.io/Logging_0882/kartor_geotiff/A 24769-2025 georefererad karta.tif", "A 24769-2025")</f>
        <v/>
      </c>
      <c r="AA62">
        <f>HYPERLINK("https://klasma.github.io/Logging_0882/klagomål/A 24769-2025 FSC-klagomål.docx", "A 24769-2025")</f>
        <v/>
      </c>
      <c r="AB62">
        <f>HYPERLINK("https://klasma.github.io/Logging_0882/klagomålsmail/A 24769-2025 FSC-klagomål mail.docx", "A 24769-2025")</f>
        <v/>
      </c>
      <c r="AC62">
        <f>HYPERLINK("https://klasma.github.io/Logging_0882/tillsyn/A 24769-2025 tillsynsbegäran.docx", "A 24769-2025")</f>
        <v/>
      </c>
      <c r="AD62">
        <f>HYPERLINK("https://klasma.github.io/Logging_0882/tillsynsmail/A 24769-2025 tillsynsbegäran mail.docx", "A 24769-2025")</f>
        <v/>
      </c>
      <c r="AE62">
        <f>HYPERLINK("https://klasma.github.io/Logging_0882/fåglar/A 24769-2025 prioriterade fågelarter.docx", "A 24769-2025")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46254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46254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46254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46254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46254</v>
      </c>
      <c r="F67" t="inlineStr">
        <is>
          <t>KALMAR LÄN</t>
        </is>
      </c>
      <c r="G67" t="inlineStr">
        <is>
          <t>OSKARSHAMN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46254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46254</v>
      </c>
      <c r="F69" t="inlineStr">
        <is>
          <t>KALMAR LÄN</t>
        </is>
      </c>
      <c r="G69" t="inlineStr">
        <is>
          <t>OSKARSHAMN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46254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46254</v>
      </c>
      <c r="F71" t="inlineStr">
        <is>
          <t>KALMAR LÄN</t>
        </is>
      </c>
      <c r="G71" t="inlineStr">
        <is>
          <t>OSKARSHAMN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46254</v>
      </c>
      <c r="F72" t="inlineStr">
        <is>
          <t>KALMAR LÄN</t>
        </is>
      </c>
      <c r="G72" t="inlineStr">
        <is>
          <t>OSKARSHAMN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46254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46254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46254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46254</v>
      </c>
      <c r="F76" t="inlineStr">
        <is>
          <t>KALMAR LÄN</t>
        </is>
      </c>
      <c r="G76" t="inlineStr">
        <is>
          <t>OSKARSHAMN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46254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46254</v>
      </c>
      <c r="F78" t="inlineStr">
        <is>
          <t>KALMAR LÄN</t>
        </is>
      </c>
      <c r="G78" t="inlineStr">
        <is>
          <t>OSKARSHAMN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46254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44443</v>
      </c>
      <c r="E80" s="1" t="n">
        <v>46254</v>
      </c>
      <c r="F80" t="inlineStr">
        <is>
          <t>KALMAR LÄN</t>
        </is>
      </c>
      <c r="G80" t="inlineStr">
        <is>
          <t>OSKARSHAMN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46254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44761</v>
      </c>
      <c r="E82" s="1" t="n">
        <v>46254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46254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46254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46254</v>
      </c>
      <c r="F85" t="inlineStr">
        <is>
          <t>KALMAR LÄN</t>
        </is>
      </c>
      <c r="G85" t="inlineStr">
        <is>
          <t>OSKARSHAMN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46254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46254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46254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46254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44428</v>
      </c>
      <c r="E90" s="1" t="n">
        <v>46254</v>
      </c>
      <c r="F90" t="inlineStr">
        <is>
          <t>KALMAR LÄN</t>
        </is>
      </c>
      <c r="G90" t="inlineStr">
        <is>
          <t>OSKARSHAMN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46254</v>
      </c>
      <c r="F91" t="inlineStr">
        <is>
          <t>KALMAR LÄN</t>
        </is>
      </c>
      <c r="G91" t="inlineStr">
        <is>
          <t>OSKARSHAMN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46254</v>
      </c>
      <c r="F92" t="inlineStr">
        <is>
          <t>KALMAR LÄN</t>
        </is>
      </c>
      <c r="G92" t="inlineStr">
        <is>
          <t>OSKARSHAMN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21964-2022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46254</v>
      </c>
      <c r="F93" t="inlineStr">
        <is>
          <t>KALMAR LÄN</t>
        </is>
      </c>
      <c r="G93" t="inlineStr">
        <is>
          <t>OSKARSHAMN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46254</v>
      </c>
      <c r="F94" t="inlineStr">
        <is>
          <t>KALMAR LÄN</t>
        </is>
      </c>
      <c r="G94" t="inlineStr">
        <is>
          <t>OSKARSHAMN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44544</v>
      </c>
      <c r="E95" s="1" t="n">
        <v>46254</v>
      </c>
      <c r="F95" t="inlineStr">
        <is>
          <t>KALMAR LÄN</t>
        </is>
      </c>
      <c r="G95" t="inlineStr">
        <is>
          <t>OSKARSHAMN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46254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44704</v>
      </c>
      <c r="E97" s="1" t="n">
        <v>46254</v>
      </c>
      <c r="F97" t="inlineStr">
        <is>
          <t>KALMAR LÄN</t>
        </is>
      </c>
      <c r="G97" t="inlineStr">
        <is>
          <t>OSKARSHAMN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46254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46254</v>
      </c>
      <c r="F99" t="inlineStr">
        <is>
          <t>KALMAR LÄN</t>
        </is>
      </c>
      <c r="G99" t="inlineStr">
        <is>
          <t>OSKARSHAMN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46254</v>
      </c>
      <c r="F100" t="inlineStr">
        <is>
          <t>KALMAR LÄN</t>
        </is>
      </c>
      <c r="G100" t="inlineStr">
        <is>
          <t>OSKARSHAMN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46254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46254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44869</v>
      </c>
      <c r="E103" s="1" t="n">
        <v>46254</v>
      </c>
      <c r="F103" t="inlineStr">
        <is>
          <t>KALMAR LÄN</t>
        </is>
      </c>
      <c r="G103" t="inlineStr">
        <is>
          <t>OSKARSHAMN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44711</v>
      </c>
      <c r="E104" s="1" t="n">
        <v>46254</v>
      </c>
      <c r="F104" t="inlineStr">
        <is>
          <t>KALMAR LÄN</t>
        </is>
      </c>
      <c r="G104" t="inlineStr">
        <is>
          <t>OSKARSHAMN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46254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46254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46254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46254</v>
      </c>
      <c r="F108" t="inlineStr">
        <is>
          <t>KALMAR LÄN</t>
        </is>
      </c>
      <c r="G108" t="inlineStr">
        <is>
          <t>OSKARSHAMN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44593</v>
      </c>
      <c r="E109" s="1" t="n">
        <v>46254</v>
      </c>
      <c r="F109" t="inlineStr">
        <is>
          <t>KALMAR LÄN</t>
        </is>
      </c>
      <c r="G109" t="inlineStr">
        <is>
          <t>OSKARSHAMN</t>
        </is>
      </c>
      <c r="H109" t="inlineStr">
        <is>
          <t>Sveaskog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46254</v>
      </c>
      <c r="F110" t="inlineStr">
        <is>
          <t>KALMAR LÄN</t>
        </is>
      </c>
      <c r="G110" t="inlineStr">
        <is>
          <t>OSKARSHAMN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46254</v>
      </c>
      <c r="F111" t="inlineStr">
        <is>
          <t>KALMAR LÄN</t>
        </is>
      </c>
      <c r="G111" t="inlineStr">
        <is>
          <t>OSKARSHAMN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46254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46254</v>
      </c>
      <c r="F113" t="inlineStr">
        <is>
          <t>KALMAR LÄN</t>
        </is>
      </c>
      <c r="G113" t="inlineStr">
        <is>
          <t>OSKARSHAMN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46254</v>
      </c>
      <c r="F114" t="inlineStr">
        <is>
          <t>KALMAR LÄN</t>
        </is>
      </c>
      <c r="G114" t="inlineStr">
        <is>
          <t>OSKARSHAMN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33606-2022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46254</v>
      </c>
      <c r="F115" t="inlineStr">
        <is>
          <t>KALMAR LÄN</t>
        </is>
      </c>
      <c r="G115" t="inlineStr">
        <is>
          <t>OSKARSHAMN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44818</v>
      </c>
      <c r="E116" s="1" t="n">
        <v>46254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46254</v>
      </c>
      <c r="F117" t="inlineStr">
        <is>
          <t>KALMAR LÄN</t>
        </is>
      </c>
      <c r="G117" t="inlineStr">
        <is>
          <t>OSKARSHAMN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46254</v>
      </c>
      <c r="F118" t="inlineStr">
        <is>
          <t>KALMAR LÄN</t>
        </is>
      </c>
      <c r="G118" t="inlineStr">
        <is>
          <t>OSKARSHAMN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46254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46254</v>
      </c>
      <c r="F120" t="inlineStr">
        <is>
          <t>KALMAR LÄN</t>
        </is>
      </c>
      <c r="G120" t="inlineStr">
        <is>
          <t>OSKARSHAMN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46254</v>
      </c>
      <c r="F121" t="inlineStr">
        <is>
          <t>KALMAR LÄN</t>
        </is>
      </c>
      <c r="G121" t="inlineStr">
        <is>
          <t>OSKARSHAMN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46254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35531-2024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46254</v>
      </c>
      <c r="F123" t="inlineStr">
        <is>
          <t>KALMAR LÄN</t>
        </is>
      </c>
      <c r="G123" t="inlineStr">
        <is>
          <t>OSKARSHAMN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46254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46254</v>
      </c>
      <c r="F125" t="inlineStr">
        <is>
          <t>KALMAR LÄN</t>
        </is>
      </c>
      <c r="G125" t="inlineStr">
        <is>
          <t>OSKARSHAMN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22878-2024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46254</v>
      </c>
      <c r="F126" t="inlineStr">
        <is>
          <t>KALMAR LÄN</t>
        </is>
      </c>
      <c r="G126" t="inlineStr">
        <is>
          <t>OSKARSHAMN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46254</v>
      </c>
      <c r="F127" t="inlineStr">
        <is>
          <t>KALMAR LÄN</t>
        </is>
      </c>
      <c r="G127" t="inlineStr">
        <is>
          <t>OSKARSHAMN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45567</v>
      </c>
      <c r="E128" s="1" t="n">
        <v>46254</v>
      </c>
      <c r="F128" t="inlineStr">
        <is>
          <t>KALMAR LÄN</t>
        </is>
      </c>
      <c r="G128" t="inlineStr">
        <is>
          <t>OSKARSHAMN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46254</v>
      </c>
      <c r="F129" t="inlineStr">
        <is>
          <t>KALMAR LÄN</t>
        </is>
      </c>
      <c r="G129" t="inlineStr">
        <is>
          <t>OSKARSHAMN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46254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27684-2022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44743</v>
      </c>
      <c r="E131" s="1" t="n">
        <v>46254</v>
      </c>
      <c r="F131" t="inlineStr">
        <is>
          <t>KALMAR LÄN</t>
        </is>
      </c>
      <c r="G131" t="inlineStr">
        <is>
          <t>OSKARSHAMN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45364</v>
      </c>
      <c r="E132" s="1" t="n">
        <v>46254</v>
      </c>
      <c r="F132" t="inlineStr">
        <is>
          <t>KALMAR LÄN</t>
        </is>
      </c>
      <c r="G132" t="inlineStr">
        <is>
          <t>OSKARSHAMN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46254</v>
      </c>
      <c r="F133" t="inlineStr">
        <is>
          <t>KALMAR LÄN</t>
        </is>
      </c>
      <c r="G133" t="inlineStr">
        <is>
          <t>OSKARSHAMN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46254</v>
      </c>
      <c r="F134" t="inlineStr">
        <is>
          <t>KALMAR LÄN</t>
        </is>
      </c>
      <c r="G134" t="inlineStr">
        <is>
          <t>OSKARSHAMN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46254</v>
      </c>
      <c r="F135" t="inlineStr">
        <is>
          <t>KALMAR LÄN</t>
        </is>
      </c>
      <c r="G135" t="inlineStr">
        <is>
          <t>OSKARSHAMN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46254</v>
      </c>
      <c r="F136" t="inlineStr">
        <is>
          <t>KALMAR LÄN</t>
        </is>
      </c>
      <c r="G136" t="inlineStr">
        <is>
          <t>OSKARSHAMN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45432</v>
      </c>
      <c r="E137" s="1" t="n">
        <v>46254</v>
      </c>
      <c r="F137" t="inlineStr">
        <is>
          <t>KALMAR LÄN</t>
        </is>
      </c>
      <c r="G137" t="inlineStr">
        <is>
          <t>OSKARSHAMN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46254</v>
      </c>
      <c r="F138" t="inlineStr">
        <is>
          <t>KALMAR LÄN</t>
        </is>
      </c>
      <c r="G138" t="inlineStr">
        <is>
          <t>OSKARSHAMN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46254</v>
      </c>
      <c r="F139" t="inlineStr">
        <is>
          <t>KALMAR LÄN</t>
        </is>
      </c>
      <c r="G139" t="inlineStr">
        <is>
          <t>OSKARSHAMN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45372</v>
      </c>
      <c r="E140" s="1" t="n">
        <v>46254</v>
      </c>
      <c r="F140" t="inlineStr">
        <is>
          <t>KALMAR LÄN</t>
        </is>
      </c>
      <c r="G140" t="inlineStr">
        <is>
          <t>OSKARSHAMN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46254</v>
      </c>
      <c r="F141" t="inlineStr">
        <is>
          <t>KALMAR LÄN</t>
        </is>
      </c>
      <c r="G141" t="inlineStr">
        <is>
          <t>OSKARSHAMN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46254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45490</v>
      </c>
      <c r="E143" s="1" t="n">
        <v>46254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46254</v>
      </c>
      <c r="F144" t="inlineStr">
        <is>
          <t>KALMAR LÄN</t>
        </is>
      </c>
      <c r="G144" t="inlineStr">
        <is>
          <t>OSKARSHAMN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46254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46254</v>
      </c>
      <c r="F146" t="inlineStr">
        <is>
          <t>KALMAR LÄN</t>
        </is>
      </c>
      <c r="G146" t="inlineStr">
        <is>
          <t>OSKARSHAMN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46254</v>
      </c>
      <c r="F147" t="inlineStr">
        <is>
          <t>KALMAR LÄN</t>
        </is>
      </c>
      <c r="G147" t="inlineStr">
        <is>
          <t>OSKARSHAMN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44818</v>
      </c>
      <c r="E148" s="1" t="n">
        <v>46254</v>
      </c>
      <c r="F148" t="inlineStr">
        <is>
          <t>KALMAR LÄN</t>
        </is>
      </c>
      <c r="G148" t="inlineStr">
        <is>
          <t>OSKARSHAMN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44951</v>
      </c>
      <c r="E149" s="1" t="n">
        <v>46254</v>
      </c>
      <c r="F149" t="inlineStr">
        <is>
          <t>KALMAR LÄN</t>
        </is>
      </c>
      <c r="G149" t="inlineStr">
        <is>
          <t>OSKARSHAMN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46254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46254</v>
      </c>
      <c r="F151" t="inlineStr">
        <is>
          <t>KALMAR LÄN</t>
        </is>
      </c>
      <c r="G151" t="inlineStr">
        <is>
          <t>OSKARSHAMN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46254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45482</v>
      </c>
      <c r="E153" s="1" t="n">
        <v>46254</v>
      </c>
      <c r="F153" t="inlineStr">
        <is>
          <t>KALMAR LÄN</t>
        </is>
      </c>
      <c r="G153" t="inlineStr">
        <is>
          <t>OSKARSHAMN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46254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46254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46254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46254</v>
      </c>
      <c r="F157" t="inlineStr">
        <is>
          <t>KALMAR LÄN</t>
        </is>
      </c>
      <c r="G157" t="inlineStr">
        <is>
          <t>OSKARSHAMN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46254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46254</v>
      </c>
      <c r="F159" t="inlineStr">
        <is>
          <t>KALMAR LÄN</t>
        </is>
      </c>
      <c r="G159" t="inlineStr">
        <is>
          <t>OSKARSHAMN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45207</v>
      </c>
      <c r="E160" s="1" t="n">
        <v>46254</v>
      </c>
      <c r="F160" t="inlineStr">
        <is>
          <t>KALMAR LÄN</t>
        </is>
      </c>
      <c r="G160" t="inlineStr">
        <is>
          <t>OSKARSHAMN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46254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46254</v>
      </c>
      <c r="F162" t="inlineStr">
        <is>
          <t>KALMAR LÄN</t>
        </is>
      </c>
      <c r="G162" t="inlineStr">
        <is>
          <t>OSKARSHAMN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46254</v>
      </c>
      <c r="F163" t="inlineStr">
        <is>
          <t>KALMAR LÄN</t>
        </is>
      </c>
      <c r="G163" t="inlineStr">
        <is>
          <t>OSKARSHAMN</t>
        </is>
      </c>
      <c r="I163" t="n">
        <v>11.6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46254</v>
      </c>
      <c r="F164" t="inlineStr">
        <is>
          <t>KALMAR LÄN</t>
        </is>
      </c>
      <c r="G164" t="inlineStr">
        <is>
          <t>OSKARSHAMN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46254</v>
      </c>
      <c r="F165" t="inlineStr">
        <is>
          <t>KALMAR LÄN</t>
        </is>
      </c>
      <c r="G165" t="inlineStr">
        <is>
          <t>OSKARSHAMN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46254</v>
      </c>
      <c r="F166" t="inlineStr">
        <is>
          <t>KALMAR LÄN</t>
        </is>
      </c>
      <c r="G166" t="inlineStr">
        <is>
          <t>OSKARSHAMN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46254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46254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15754-2022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44663</v>
      </c>
      <c r="E169" s="1" t="n">
        <v>46254</v>
      </c>
      <c r="F169" t="inlineStr">
        <is>
          <t>KALMAR LÄN</t>
        </is>
      </c>
      <c r="G169" t="inlineStr">
        <is>
          <t>OSKARSHAMN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45223</v>
      </c>
      <c r="E170" s="1" t="n">
        <v>46254</v>
      </c>
      <c r="F170" t="inlineStr">
        <is>
          <t>KALMAR LÄN</t>
        </is>
      </c>
      <c r="G170" t="inlineStr">
        <is>
          <t>OSKARSHAMN</t>
        </is>
      </c>
      <c r="I170" t="n">
        <v>15.3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46254</v>
      </c>
      <c r="F171" t="inlineStr">
        <is>
          <t>KALMAR LÄN</t>
        </is>
      </c>
      <c r="G171" t="inlineStr">
        <is>
          <t>OSKARSHAMN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45043</v>
      </c>
      <c r="E172" s="1" t="n">
        <v>46254</v>
      </c>
      <c r="F172" t="inlineStr">
        <is>
          <t>KALMAR LÄN</t>
        </is>
      </c>
      <c r="G172" t="inlineStr">
        <is>
          <t>OSKARSHAMN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44963</v>
      </c>
      <c r="E173" s="1" t="n">
        <v>46254</v>
      </c>
      <c r="F173" t="inlineStr">
        <is>
          <t>KALMAR LÄN</t>
        </is>
      </c>
      <c r="G173" t="inlineStr">
        <is>
          <t>OSKARSHAMN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45323</v>
      </c>
      <c r="E174" s="1" t="n">
        <v>46254</v>
      </c>
      <c r="F174" t="inlineStr">
        <is>
          <t>KALMAR LÄN</t>
        </is>
      </c>
      <c r="G174" t="inlineStr">
        <is>
          <t>OSKARSHAMN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46254</v>
      </c>
      <c r="F175" t="inlineStr">
        <is>
          <t>KALMAR LÄN</t>
        </is>
      </c>
      <c r="G175" t="inlineStr">
        <is>
          <t>OSKARSHAMN</t>
        </is>
      </c>
      <c r="I175" t="n">
        <v>12.9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46254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45359</v>
      </c>
      <c r="E177" s="1" t="n">
        <v>46254</v>
      </c>
      <c r="F177" t="inlineStr">
        <is>
          <t>KALMAR LÄN</t>
        </is>
      </c>
      <c r="G177" t="inlineStr">
        <is>
          <t>OSKARSHAMN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46254</v>
      </c>
      <c r="F178" t="inlineStr">
        <is>
          <t>KALMAR LÄN</t>
        </is>
      </c>
      <c r="G178" t="inlineStr">
        <is>
          <t>OSKARSHAMN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46254</v>
      </c>
      <c r="F179" t="inlineStr">
        <is>
          <t>KALMAR LÄN</t>
        </is>
      </c>
      <c r="G179" t="inlineStr">
        <is>
          <t>OSKARSHAMN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46254</v>
      </c>
      <c r="F180" t="inlineStr">
        <is>
          <t>KALMAR LÄN</t>
        </is>
      </c>
      <c r="G180" t="inlineStr">
        <is>
          <t>OSKARSHAMN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46254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46254</v>
      </c>
      <c r="F182" t="inlineStr">
        <is>
          <t>KALMAR LÄN</t>
        </is>
      </c>
      <c r="G182" t="inlineStr">
        <is>
          <t>OSKARSHAMN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44711</v>
      </c>
      <c r="E183" s="1" t="n">
        <v>46254</v>
      </c>
      <c r="F183" t="inlineStr">
        <is>
          <t>KALMAR LÄN</t>
        </is>
      </c>
      <c r="G183" t="inlineStr">
        <is>
          <t>OSKARSHAMN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46254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45369</v>
      </c>
      <c r="E185" s="1" t="n">
        <v>46254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46254</v>
      </c>
      <c r="F186" t="inlineStr">
        <is>
          <t>KALMAR LÄN</t>
        </is>
      </c>
      <c r="G186" t="inlineStr">
        <is>
          <t>OSKARSHAMN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46254</v>
      </c>
      <c r="F187" t="inlineStr">
        <is>
          <t>KALMAR LÄN</t>
        </is>
      </c>
      <c r="G187" t="inlineStr">
        <is>
          <t>OSKARSHAMN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45021</v>
      </c>
      <c r="E188" s="1" t="n">
        <v>46254</v>
      </c>
      <c r="F188" t="inlineStr">
        <is>
          <t>KALMAR LÄN</t>
        </is>
      </c>
      <c r="G188" t="inlineStr">
        <is>
          <t>OSKARSHAMN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46254</v>
      </c>
      <c r="F189" t="inlineStr">
        <is>
          <t>KALMAR LÄN</t>
        </is>
      </c>
      <c r="G189" t="inlineStr">
        <is>
          <t>OSKARSHAMN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46254</v>
      </c>
      <c r="F190" t="inlineStr">
        <is>
          <t>KALMAR LÄN</t>
        </is>
      </c>
      <c r="G190" t="inlineStr">
        <is>
          <t>OSKARSHAMN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46254</v>
      </c>
      <c r="F191" t="inlineStr">
        <is>
          <t>KALMAR LÄN</t>
        </is>
      </c>
      <c r="G191" t="inlineStr">
        <is>
          <t>OSKARSHAMN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46254</v>
      </c>
      <c r="F192" t="inlineStr">
        <is>
          <t>KALMAR LÄN</t>
        </is>
      </c>
      <c r="G192" t="inlineStr">
        <is>
          <t>OSKARSHAMN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45034</v>
      </c>
      <c r="E193" s="1" t="n">
        <v>46254</v>
      </c>
      <c r="F193" t="inlineStr">
        <is>
          <t>KALMAR LÄN</t>
        </is>
      </c>
      <c r="G193" t="inlineStr">
        <is>
          <t>OSKARSHAMN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46254</v>
      </c>
      <c r="F194" t="inlineStr">
        <is>
          <t>KALMAR LÄN</t>
        </is>
      </c>
      <c r="G194" t="inlineStr">
        <is>
          <t>OSKARSHAMN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46254</v>
      </c>
      <c r="F195" t="inlineStr">
        <is>
          <t>KALMAR LÄN</t>
        </is>
      </c>
      <c r="G195" t="inlineStr">
        <is>
          <t>OSKARSHAMN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46254</v>
      </c>
      <c r="F196" t="inlineStr">
        <is>
          <t>KALMAR LÄN</t>
        </is>
      </c>
      <c r="G196" t="inlineStr">
        <is>
          <t>OSKARSHAMN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46254</v>
      </c>
      <c r="F197" t="inlineStr">
        <is>
          <t>KALMAR LÄN</t>
        </is>
      </c>
      <c r="G197" t="inlineStr">
        <is>
          <t>OSKARSHAMN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46254</v>
      </c>
      <c r="F198" t="inlineStr">
        <is>
          <t>KALMAR LÄN</t>
        </is>
      </c>
      <c r="G198" t="inlineStr">
        <is>
          <t>OSKARSHAMN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46254</v>
      </c>
      <c r="F199" t="inlineStr">
        <is>
          <t>KALMAR LÄN</t>
        </is>
      </c>
      <c r="G199" t="inlineStr">
        <is>
          <t>OSKARSHAMN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48582-2021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44452</v>
      </c>
      <c r="E200" s="1" t="n">
        <v>46254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46254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46254</v>
      </c>
      <c r="F202" t="inlineStr">
        <is>
          <t>KALMAR LÄN</t>
        </is>
      </c>
      <c r="G202" t="inlineStr">
        <is>
          <t>OSKARSHAMN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46254</v>
      </c>
      <c r="F203" t="inlineStr">
        <is>
          <t>KALMAR LÄN</t>
        </is>
      </c>
      <c r="G203" t="inlineStr">
        <is>
          <t>OSKARSHAMN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53024-2021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44467</v>
      </c>
      <c r="E204" s="1" t="n">
        <v>46254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44836</v>
      </c>
      <c r="E205" s="1" t="n">
        <v>46254</v>
      </c>
      <c r="F205" t="inlineStr">
        <is>
          <t>KALMAR LÄN</t>
        </is>
      </c>
      <c r="G205" t="inlineStr">
        <is>
          <t>OSKARSHAMN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44963</v>
      </c>
      <c r="E206" s="1" t="n">
        <v>46254</v>
      </c>
      <c r="F206" t="inlineStr">
        <is>
          <t>KALMAR LÄN</t>
        </is>
      </c>
      <c r="G206" t="inlineStr">
        <is>
          <t>OSKARSHAMN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44963</v>
      </c>
      <c r="E207" s="1" t="n">
        <v>46254</v>
      </c>
      <c r="F207" t="inlineStr">
        <is>
          <t>KALMAR LÄN</t>
        </is>
      </c>
      <c r="G207" t="inlineStr">
        <is>
          <t>OSKARSHAMN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46254</v>
      </c>
      <c r="F208" t="inlineStr">
        <is>
          <t>KALMAR LÄN</t>
        </is>
      </c>
      <c r="G208" t="inlineStr">
        <is>
          <t>OSKARSHAMN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49592-2021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44455</v>
      </c>
      <c r="E209" s="1" t="n">
        <v>46254</v>
      </c>
      <c r="F209" t="inlineStr">
        <is>
          <t>KALMAR LÄN</t>
        </is>
      </c>
      <c r="G209" t="inlineStr">
        <is>
          <t>OSKARSHAMN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46254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46254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44443</v>
      </c>
      <c r="E212" s="1" t="n">
        <v>46254</v>
      </c>
      <c r="F212" t="inlineStr">
        <is>
          <t>KALMAR LÄN</t>
        </is>
      </c>
      <c r="G212" t="inlineStr">
        <is>
          <t>OSKARSHAMN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45530</v>
      </c>
      <c r="E213" s="1" t="n">
        <v>46254</v>
      </c>
      <c r="F213" t="inlineStr">
        <is>
          <t>KALMAR LÄN</t>
        </is>
      </c>
      <c r="G213" t="inlineStr">
        <is>
          <t>OSKARSHAMN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46254</v>
      </c>
      <c r="F214" t="inlineStr">
        <is>
          <t>KALMAR LÄN</t>
        </is>
      </c>
      <c r="G214" t="inlineStr">
        <is>
          <t>OSKARSHAMN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46254</v>
      </c>
      <c r="F215" t="inlineStr">
        <is>
          <t>KALMAR LÄN</t>
        </is>
      </c>
      <c r="G215" t="inlineStr">
        <is>
          <t>OSKARSHAMN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46254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46254</v>
      </c>
      <c r="F217" t="inlineStr">
        <is>
          <t>KALMAR LÄN</t>
        </is>
      </c>
      <c r="G217" t="inlineStr">
        <is>
          <t>OSKARSHAMN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46254</v>
      </c>
      <c r="F218" t="inlineStr">
        <is>
          <t>KALMAR LÄN</t>
        </is>
      </c>
      <c r="G218" t="inlineStr">
        <is>
          <t>OSKARSHAMN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44564</v>
      </c>
      <c r="E219" s="1" t="n">
        <v>46254</v>
      </c>
      <c r="F219" t="inlineStr">
        <is>
          <t>KALMAR LÄN</t>
        </is>
      </c>
      <c r="G219" t="inlineStr">
        <is>
          <t>OSKARSHAMN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46254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46254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45589</v>
      </c>
      <c r="E222" s="1" t="n">
        <v>46254</v>
      </c>
      <c r="F222" t="inlineStr">
        <is>
          <t>KALMAR LÄN</t>
        </is>
      </c>
      <c r="G222" t="inlineStr">
        <is>
          <t>OSKARSHAMN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46254</v>
      </c>
      <c r="F223" t="inlineStr">
        <is>
          <t>KALMAR LÄN</t>
        </is>
      </c>
      <c r="G223" t="inlineStr">
        <is>
          <t>OSKARSHAMN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46254</v>
      </c>
      <c r="F224" t="inlineStr">
        <is>
          <t>KALMAR LÄN</t>
        </is>
      </c>
      <c r="G224" t="inlineStr">
        <is>
          <t>OSKARSHAMN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45022</v>
      </c>
      <c r="E225" s="1" t="n">
        <v>46254</v>
      </c>
      <c r="F225" t="inlineStr">
        <is>
          <t>KALMAR LÄN</t>
        </is>
      </c>
      <c r="G225" t="inlineStr">
        <is>
          <t>OSKARSHAMN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46254</v>
      </c>
      <c r="F226" t="inlineStr">
        <is>
          <t>KALMAR LÄN</t>
        </is>
      </c>
      <c r="G226" t="inlineStr">
        <is>
          <t>OSKARSHAMN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20758-2026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46141</v>
      </c>
      <c r="E227" s="1" t="n">
        <v>46254</v>
      </c>
      <c r="F227" t="inlineStr">
        <is>
          <t>KALMAR LÄN</t>
        </is>
      </c>
      <c r="G227" t="inlineStr">
        <is>
          <t>OSKARSHAMN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46254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58401-2021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46254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46254</v>
      </c>
      <c r="F230" t="inlineStr">
        <is>
          <t>KALMAR LÄN</t>
        </is>
      </c>
      <c r="G230" t="inlineStr">
        <is>
          <t>OSKARSHAMN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46254</v>
      </c>
      <c r="F231" t="inlineStr">
        <is>
          <t>KALMAR LÄN</t>
        </is>
      </c>
      <c r="G231" t="inlineStr">
        <is>
          <t>OSKARSHAMN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46254</v>
      </c>
      <c r="F232" t="inlineStr">
        <is>
          <t>KALMAR LÄN</t>
        </is>
      </c>
      <c r="G232" t="inlineStr">
        <is>
          <t>OSKARSHAMN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46254</v>
      </c>
      <c r="F233" t="inlineStr">
        <is>
          <t>KALMAR LÄN</t>
        </is>
      </c>
      <c r="G233" t="inlineStr">
        <is>
          <t>OSKARSHAMN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46254</v>
      </c>
      <c r="F234" t="inlineStr">
        <is>
          <t>KALMAR LÄN</t>
        </is>
      </c>
      <c r="G234" t="inlineStr">
        <is>
          <t>OSKARSHAMN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44980</v>
      </c>
      <c r="E235" s="1" t="n">
        <v>46254</v>
      </c>
      <c r="F235" t="inlineStr">
        <is>
          <t>KALMAR LÄN</t>
        </is>
      </c>
      <c r="G235" t="inlineStr">
        <is>
          <t>OSKARSHAMN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46254</v>
      </c>
      <c r="F236" t="inlineStr">
        <is>
          <t>KALMAR LÄN</t>
        </is>
      </c>
      <c r="G236" t="inlineStr">
        <is>
          <t>OSKARSHAMN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46254</v>
      </c>
      <c r="F237" t="inlineStr">
        <is>
          <t>KALMAR LÄN</t>
        </is>
      </c>
      <c r="G237" t="inlineStr">
        <is>
          <t>OSKARSHAMN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46147</v>
      </c>
      <c r="E238" s="1" t="n">
        <v>46254</v>
      </c>
      <c r="F238" t="inlineStr">
        <is>
          <t>KALMAR LÄN</t>
        </is>
      </c>
      <c r="G238" t="inlineStr">
        <is>
          <t>OSKARSHAMN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46147</v>
      </c>
      <c r="E239" s="1" t="n">
        <v>46254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46254</v>
      </c>
      <c r="F240" t="inlineStr">
        <is>
          <t>KALMAR LÄN</t>
        </is>
      </c>
      <c r="G240" t="inlineStr">
        <is>
          <t>OSKARSHAMN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46254</v>
      </c>
      <c r="F241" t="inlineStr">
        <is>
          <t>KALMAR LÄN</t>
        </is>
      </c>
      <c r="G241" t="inlineStr">
        <is>
          <t>OSKARSHAMN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46254</v>
      </c>
      <c r="F242" t="inlineStr">
        <is>
          <t>KALMAR LÄN</t>
        </is>
      </c>
      <c r="G242" t="inlineStr">
        <is>
          <t>OSKARSHAMN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46254</v>
      </c>
      <c r="F243" t="inlineStr">
        <is>
          <t>KALMAR LÄN</t>
        </is>
      </c>
      <c r="G243" t="inlineStr">
        <is>
          <t>OSKARSHAMN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46254</v>
      </c>
      <c r="F244" t="inlineStr">
        <is>
          <t>KALMAR LÄN</t>
        </is>
      </c>
      <c r="G244" t="inlineStr">
        <is>
          <t>OSKARSHAMN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8499-2023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44977</v>
      </c>
      <c r="E245" s="1" t="n">
        <v>46254</v>
      </c>
      <c r="F245" t="inlineStr">
        <is>
          <t>KALMAR LÄN</t>
        </is>
      </c>
      <c r="G245" t="inlineStr">
        <is>
          <t>OSKARSHAMN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42693-2025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45908</v>
      </c>
      <c r="E246" s="1" t="n">
        <v>46254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46254</v>
      </c>
      <c r="F247" t="inlineStr">
        <is>
          <t>KALMAR LÄN</t>
        </is>
      </c>
      <c r="G247" t="inlineStr">
        <is>
          <t>OSKARSHAMN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42751-2025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45908</v>
      </c>
      <c r="E248" s="1" t="n">
        <v>46254</v>
      </c>
      <c r="F248" t="inlineStr">
        <is>
          <t>KALMAR LÄN</t>
        </is>
      </c>
      <c r="G248" t="inlineStr">
        <is>
          <t>OSKARSHAMN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46254</v>
      </c>
      <c r="F249" t="inlineStr">
        <is>
          <t>KALMAR LÄN</t>
        </is>
      </c>
      <c r="G249" t="inlineStr">
        <is>
          <t>OSKARSHAMN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46254</v>
      </c>
      <c r="F250" t="inlineStr">
        <is>
          <t>KALMAR LÄN</t>
        </is>
      </c>
      <c r="G250" t="inlineStr">
        <is>
          <t>OSKARSHAMN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26451-2024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46254</v>
      </c>
      <c r="F251" t="inlineStr">
        <is>
          <t>KALMAR LÄN</t>
        </is>
      </c>
      <c r="G251" t="inlineStr">
        <is>
          <t>OSKARSHAMN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8656-2022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44613</v>
      </c>
      <c r="E252" s="1" t="n">
        <v>46254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71340-2021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44539</v>
      </c>
      <c r="E253" s="1" t="n">
        <v>46254</v>
      </c>
      <c r="F253" t="inlineStr">
        <is>
          <t>KALMAR LÄN</t>
        </is>
      </c>
      <c r="G253" t="inlineStr">
        <is>
          <t>OSKARSHAMN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46254</v>
      </c>
      <c r="F254" t="inlineStr">
        <is>
          <t>KALMAR LÄN</t>
        </is>
      </c>
      <c r="G254" t="inlineStr">
        <is>
          <t>OSKARSHAMN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45691</v>
      </c>
      <c r="E255" s="1" t="n">
        <v>46254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46254</v>
      </c>
      <c r="F256" t="inlineStr">
        <is>
          <t>KALMAR LÄN</t>
        </is>
      </c>
      <c r="G256" t="inlineStr">
        <is>
          <t>OSKARSHAMN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46254</v>
      </c>
      <c r="F257" t="inlineStr">
        <is>
          <t>KALMAR LÄN</t>
        </is>
      </c>
      <c r="G257" t="inlineStr">
        <is>
          <t>OSKARSHAMN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46254</v>
      </c>
      <c r="F258" t="inlineStr">
        <is>
          <t>KALMAR LÄN</t>
        </is>
      </c>
      <c r="G258" t="inlineStr">
        <is>
          <t>OSKARSHAMN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44978</v>
      </c>
      <c r="E259" s="1" t="n">
        <v>46254</v>
      </c>
      <c r="F259" t="inlineStr">
        <is>
          <t>KALMAR LÄN</t>
        </is>
      </c>
      <c r="G259" t="inlineStr">
        <is>
          <t>OSKARSHAMN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46169</v>
      </c>
      <c r="E260" s="1" t="n">
        <v>46254</v>
      </c>
      <c r="F260" t="inlineStr">
        <is>
          <t>KALMAR LÄN</t>
        </is>
      </c>
      <c r="G260" t="inlineStr">
        <is>
          <t>OSKARSHAMN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46254</v>
      </c>
      <c r="F261" t="inlineStr">
        <is>
          <t>KALMAR LÄN</t>
        </is>
      </c>
      <c r="G261" t="inlineStr">
        <is>
          <t>OSKARSHAMN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45580</v>
      </c>
      <c r="E262" s="1" t="n">
        <v>46254</v>
      </c>
      <c r="F262" t="inlineStr">
        <is>
          <t>KALMAR LÄN</t>
        </is>
      </c>
      <c r="G262" t="inlineStr">
        <is>
          <t>OSKARSHAMN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46254</v>
      </c>
      <c r="F263" t="inlineStr">
        <is>
          <t>KALMAR LÄN</t>
        </is>
      </c>
      <c r="G263" t="inlineStr">
        <is>
          <t>OSKARSHAMN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46254</v>
      </c>
      <c r="F264" t="inlineStr">
        <is>
          <t>KALMAR LÄN</t>
        </is>
      </c>
      <c r="G264" t="inlineStr">
        <is>
          <t>OSKARSHAMN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46254</v>
      </c>
      <c r="F265" t="inlineStr">
        <is>
          <t>KALMAR LÄN</t>
        </is>
      </c>
      <c r="G265" t="inlineStr">
        <is>
          <t>OSKARSHAMN</t>
        </is>
      </c>
      <c r="H265" t="inlineStr">
        <is>
          <t>Kommuner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10102-2022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44621</v>
      </c>
      <c r="E266" s="1" t="n">
        <v>46254</v>
      </c>
      <c r="F266" t="inlineStr">
        <is>
          <t>KALMAR LÄN</t>
        </is>
      </c>
      <c r="G266" t="inlineStr">
        <is>
          <t>OSKARSHAMN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45320</v>
      </c>
      <c r="E267" s="1" t="n">
        <v>46254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61862-2022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46254</v>
      </c>
      <c r="F268" t="inlineStr">
        <is>
          <t>KALMAR LÄN</t>
        </is>
      </c>
      <c r="G268" t="inlineStr">
        <is>
          <t>OSKARSHAMN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45433</v>
      </c>
      <c r="E269" s="1" t="n">
        <v>46254</v>
      </c>
      <c r="F269" t="inlineStr">
        <is>
          <t>KALMAR LÄN</t>
        </is>
      </c>
      <c r="G269" t="inlineStr">
        <is>
          <t>OSKARSHAMN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22801-2024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45448</v>
      </c>
      <c r="E270" s="1" t="n">
        <v>46254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46254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72819-2021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44547</v>
      </c>
      <c r="E272" s="1" t="n">
        <v>46254</v>
      </c>
      <c r="F272" t="inlineStr">
        <is>
          <t>KALMAR LÄN</t>
        </is>
      </c>
      <c r="G272" t="inlineStr">
        <is>
          <t>OSKARSHAMN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46254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47104-2025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46254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46254</v>
      </c>
      <c r="F275" t="inlineStr">
        <is>
          <t>KALMAR LÄN</t>
        </is>
      </c>
      <c r="G275" t="inlineStr">
        <is>
          <t>OSKARSHAMN</t>
        </is>
      </c>
      <c r="I275" t="n">
        <v>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46254</v>
      </c>
      <c r="F276" t="inlineStr">
        <is>
          <t>KALMAR LÄN</t>
        </is>
      </c>
      <c r="G276" t="inlineStr">
        <is>
          <t>OSKARSHAMN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46254</v>
      </c>
      <c r="F277" t="inlineStr">
        <is>
          <t>KALMAR LÄN</t>
        </is>
      </c>
      <c r="G277" t="inlineStr">
        <is>
          <t>OSKARSHAMN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46254</v>
      </c>
      <c r="F278" t="inlineStr">
        <is>
          <t>KALMAR LÄN</t>
        </is>
      </c>
      <c r="G278" t="inlineStr">
        <is>
          <t>OSKARSHAMN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46254</v>
      </c>
      <c r="F279" t="inlineStr">
        <is>
          <t>KALMAR LÄN</t>
        </is>
      </c>
      <c r="G279" t="inlineStr">
        <is>
          <t>OSKARSHAMN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46254</v>
      </c>
      <c r="F280" t="inlineStr">
        <is>
          <t>KALMAR LÄN</t>
        </is>
      </c>
      <c r="G280" t="inlineStr">
        <is>
          <t>OSKARSHAMN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46254</v>
      </c>
      <c r="F281" t="inlineStr">
        <is>
          <t>KALMAR LÄN</t>
        </is>
      </c>
      <c r="G281" t="inlineStr">
        <is>
          <t>OSKARSHAMN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46254</v>
      </c>
      <c r="F282" t="inlineStr">
        <is>
          <t>KALMAR LÄN</t>
        </is>
      </c>
      <c r="G282" t="inlineStr">
        <is>
          <t>OSKARSHAMN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44987</v>
      </c>
      <c r="E283" s="1" t="n">
        <v>46254</v>
      </c>
      <c r="F283" t="inlineStr">
        <is>
          <t>KALMAR LÄN</t>
        </is>
      </c>
      <c r="G283" t="inlineStr">
        <is>
          <t>OSKARSHAMN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46254</v>
      </c>
      <c r="F284" t="inlineStr">
        <is>
          <t>KALMAR LÄN</t>
        </is>
      </c>
      <c r="G284" t="inlineStr">
        <is>
          <t>OSKARSHAMN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46254</v>
      </c>
      <c r="F285" t="inlineStr">
        <is>
          <t>KALMAR LÄN</t>
        </is>
      </c>
      <c r="G285" t="inlineStr">
        <is>
          <t>OSKARSHAMN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46254</v>
      </c>
      <c r="F286" t="inlineStr">
        <is>
          <t>KALMAR LÄN</t>
        </is>
      </c>
      <c r="G286" t="inlineStr">
        <is>
          <t>OSKARSHAMN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46254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45930</v>
      </c>
      <c r="E288" s="1" t="n">
        <v>46254</v>
      </c>
      <c r="F288" t="inlineStr">
        <is>
          <t>KALMAR LÄN</t>
        </is>
      </c>
      <c r="G288" t="inlineStr">
        <is>
          <t>OSKARSHAMN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47340-2025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46254</v>
      </c>
      <c r="F289" t="inlineStr">
        <is>
          <t>KALMAR LÄN</t>
        </is>
      </c>
      <c r="G289" t="inlineStr">
        <is>
          <t>OSKARSHAMN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46254</v>
      </c>
      <c r="F290" t="inlineStr">
        <is>
          <t>KALMAR LÄN</t>
        </is>
      </c>
      <c r="G290" t="inlineStr">
        <is>
          <t>OSKARSHAMN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46254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46254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46254</v>
      </c>
      <c r="F293" t="inlineStr">
        <is>
          <t>KALMAR LÄN</t>
        </is>
      </c>
      <c r="G293" t="inlineStr">
        <is>
          <t>OSKARSHAMN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46254</v>
      </c>
      <c r="F294" t="inlineStr">
        <is>
          <t>KALMAR LÄN</t>
        </is>
      </c>
      <c r="G294" t="inlineStr">
        <is>
          <t>OSKARSHAMN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46254</v>
      </c>
      <c r="F295" t="inlineStr">
        <is>
          <t>KALMAR LÄN</t>
        </is>
      </c>
      <c r="G295" t="inlineStr">
        <is>
          <t>OSKARSHAMN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46254</v>
      </c>
      <c r="F296" t="inlineStr">
        <is>
          <t>KALMAR LÄN</t>
        </is>
      </c>
      <c r="G296" t="inlineStr">
        <is>
          <t>OSKARSHAMN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45523</v>
      </c>
      <c r="E297" s="1" t="n">
        <v>46254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46254</v>
      </c>
      <c r="F298" t="inlineStr">
        <is>
          <t>KALMAR LÄN</t>
        </is>
      </c>
      <c r="G298" t="inlineStr">
        <is>
          <t>OSKARSHAMN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44621</v>
      </c>
      <c r="E299" s="1" t="n">
        <v>46254</v>
      </c>
      <c r="F299" t="inlineStr">
        <is>
          <t>KALMAR LÄN</t>
        </is>
      </c>
      <c r="G299" t="inlineStr">
        <is>
          <t>OSKARSHAMN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46254</v>
      </c>
      <c r="F300" t="inlineStr">
        <is>
          <t>KALMAR LÄN</t>
        </is>
      </c>
      <c r="G300" t="inlineStr">
        <is>
          <t>OSKARSHAMN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45373</v>
      </c>
      <c r="E301" s="1" t="n">
        <v>46254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46254</v>
      </c>
      <c r="F302" t="inlineStr">
        <is>
          <t>KALMAR LÄN</t>
        </is>
      </c>
      <c r="G302" t="inlineStr">
        <is>
          <t>OSKARSHAMN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48536-2023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45208</v>
      </c>
      <c r="E303" s="1" t="n">
        <v>46254</v>
      </c>
      <c r="F303" t="inlineStr">
        <is>
          <t>KALMAR LÄN</t>
        </is>
      </c>
      <c r="G303" t="inlineStr">
        <is>
          <t>OSKARSHAMN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44981</v>
      </c>
      <c r="E304" s="1" t="n">
        <v>46254</v>
      </c>
      <c r="F304" t="inlineStr">
        <is>
          <t>KALMAR LÄN</t>
        </is>
      </c>
      <c r="G304" t="inlineStr">
        <is>
          <t>OSKARSHAMN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46254</v>
      </c>
      <c r="F305" t="inlineStr">
        <is>
          <t>KALMAR LÄN</t>
        </is>
      </c>
      <c r="G305" t="inlineStr">
        <is>
          <t>OSKARSHAMN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46254</v>
      </c>
      <c r="F306" t="inlineStr">
        <is>
          <t>KALMAR LÄN</t>
        </is>
      </c>
      <c r="G306" t="inlineStr">
        <is>
          <t>OSKARSHAMN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45610</v>
      </c>
      <c r="E307" s="1" t="n">
        <v>46254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46254</v>
      </c>
      <c r="F308" t="inlineStr">
        <is>
          <t>KALMAR LÄN</t>
        </is>
      </c>
      <c r="G308" t="inlineStr">
        <is>
          <t>OSKARSHAMN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44995</v>
      </c>
      <c r="E309" s="1" t="n">
        <v>46254</v>
      </c>
      <c r="F309" t="inlineStr">
        <is>
          <t>KALMAR LÄN</t>
        </is>
      </c>
      <c r="G309" t="inlineStr">
        <is>
          <t>OSKARSHAMN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46254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46254</v>
      </c>
      <c r="F311" t="inlineStr">
        <is>
          <t>KALMAR LÄN</t>
        </is>
      </c>
      <c r="G311" t="inlineStr">
        <is>
          <t>OSKARSHAMN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21285-2026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46147</v>
      </c>
      <c r="E312" s="1" t="n">
        <v>46254</v>
      </c>
      <c r="F312" t="inlineStr">
        <is>
          <t>KALMAR LÄN</t>
        </is>
      </c>
      <c r="G312" t="inlineStr">
        <is>
          <t>OSKARSHAMN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44630</v>
      </c>
      <c r="E313" s="1" t="n">
        <v>46254</v>
      </c>
      <c r="F313" t="inlineStr">
        <is>
          <t>KALMAR LÄN</t>
        </is>
      </c>
      <c r="G313" t="inlineStr">
        <is>
          <t>OSKARSHAMN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46254</v>
      </c>
      <c r="F314" t="inlineStr">
        <is>
          <t>KALMAR LÄN</t>
        </is>
      </c>
      <c r="G314" t="inlineStr">
        <is>
          <t>OSKARSHAMN</t>
        </is>
      </c>
      <c r="H314" t="inlineStr">
        <is>
          <t>Övriga Aktiebolag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45323</v>
      </c>
      <c r="E315" s="1" t="n">
        <v>46254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45002</v>
      </c>
      <c r="E316" s="1" t="n">
        <v>46254</v>
      </c>
      <c r="F316" t="inlineStr">
        <is>
          <t>KALMAR LÄN</t>
        </is>
      </c>
      <c r="G316" t="inlineStr">
        <is>
          <t>OSKARSHAMN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46254</v>
      </c>
      <c r="F317" t="inlineStr">
        <is>
          <t>KALMAR LÄN</t>
        </is>
      </c>
      <c r="G317" t="inlineStr">
        <is>
          <t>OSKARSHAMN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45097</v>
      </c>
      <c r="E318" s="1" t="n">
        <v>46254</v>
      </c>
      <c r="F318" t="inlineStr">
        <is>
          <t>KALMAR LÄN</t>
        </is>
      </c>
      <c r="G318" t="inlineStr">
        <is>
          <t>OSKARSHAMN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46254</v>
      </c>
      <c r="F319" t="inlineStr">
        <is>
          <t>KALMAR LÄN</t>
        </is>
      </c>
      <c r="G319" t="inlineStr">
        <is>
          <t>OSKARSHAMN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46230</v>
      </c>
      <c r="E320" s="1" t="n">
        <v>46254</v>
      </c>
      <c r="F320" t="inlineStr">
        <is>
          <t>KALMAR LÄN</t>
        </is>
      </c>
      <c r="G320" t="inlineStr">
        <is>
          <t>OSKARSHAMN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49889-2021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44455</v>
      </c>
      <c r="E321" s="1" t="n">
        <v>46254</v>
      </c>
      <c r="F321" t="inlineStr">
        <is>
          <t>KALMAR LÄN</t>
        </is>
      </c>
      <c r="G321" t="inlineStr">
        <is>
          <t>OSKARSHAMN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46254</v>
      </c>
      <c r="F322" t="inlineStr">
        <is>
          <t>KALMAR LÄN</t>
        </is>
      </c>
      <c r="G322" t="inlineStr">
        <is>
          <t>OSKARSHAMN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46254</v>
      </c>
      <c r="F323" t="inlineStr">
        <is>
          <t>KALMAR LÄN</t>
        </is>
      </c>
      <c r="G323" t="inlineStr">
        <is>
          <t>OSKARSHAMN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44995</v>
      </c>
      <c r="E324" s="1" t="n">
        <v>46254</v>
      </c>
      <c r="F324" t="inlineStr">
        <is>
          <t>KALMAR LÄN</t>
        </is>
      </c>
      <c r="G324" t="inlineStr">
        <is>
          <t>OSKARSHAMN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46254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46254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46254</v>
      </c>
      <c r="F327" t="inlineStr">
        <is>
          <t>KALMAR LÄN</t>
        </is>
      </c>
      <c r="G327" t="inlineStr">
        <is>
          <t>OSKARSHAMN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46254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44915</v>
      </c>
      <c r="E329" s="1" t="n">
        <v>46254</v>
      </c>
      <c r="F329" t="inlineStr">
        <is>
          <t>KALMAR LÄN</t>
        </is>
      </c>
      <c r="G329" t="inlineStr">
        <is>
          <t>OSKARSHAMN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46254</v>
      </c>
      <c r="F330" t="inlineStr">
        <is>
          <t>KALMAR LÄN</t>
        </is>
      </c>
      <c r="G330" t="inlineStr">
        <is>
          <t>OSKARSHAMN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46254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46254</v>
      </c>
      <c r="F332" t="inlineStr">
        <is>
          <t>KALMAR LÄN</t>
        </is>
      </c>
      <c r="G332" t="inlineStr">
        <is>
          <t>OSKARSHAMN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46254</v>
      </c>
      <c r="F333" t="inlineStr">
        <is>
          <t>KALMAR LÄN</t>
        </is>
      </c>
      <c r="G333" t="inlineStr">
        <is>
          <t>OSKARSHAMN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46254</v>
      </c>
      <c r="F334" t="inlineStr">
        <is>
          <t>KALMAR LÄN</t>
        </is>
      </c>
      <c r="G334" t="inlineStr">
        <is>
          <t>OSKARSHAMN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46254</v>
      </c>
      <c r="F335" t="inlineStr">
        <is>
          <t>KALMAR LÄN</t>
        </is>
      </c>
      <c r="G335" t="inlineStr">
        <is>
          <t>OSKARSHAMN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46254</v>
      </c>
      <c r="F336" t="inlineStr">
        <is>
          <t>KALMAR LÄN</t>
        </is>
      </c>
      <c r="G336" t="inlineStr">
        <is>
          <t>OSKARSHAMN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46254</v>
      </c>
      <c r="F337" t="inlineStr">
        <is>
          <t>KALMAR LÄN</t>
        </is>
      </c>
      <c r="G337" t="inlineStr">
        <is>
          <t>OSKARSHAMN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46254</v>
      </c>
      <c r="F338" t="inlineStr">
        <is>
          <t>KALMAR LÄN</t>
        </is>
      </c>
      <c r="G338" t="inlineStr">
        <is>
          <t>OSKARSHAMN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46254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46254</v>
      </c>
      <c r="F340" t="inlineStr">
        <is>
          <t>KALMAR LÄN</t>
        </is>
      </c>
      <c r="G340" t="inlineStr">
        <is>
          <t>OSKARSHAMN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46254</v>
      </c>
      <c r="F341" t="inlineStr">
        <is>
          <t>KALMAR LÄN</t>
        </is>
      </c>
      <c r="G341" t="inlineStr">
        <is>
          <t>OSKARSHAMN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46254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46254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45957</v>
      </c>
      <c r="E344" s="1" t="n">
        <v>46254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45182</v>
      </c>
      <c r="E345" s="1" t="n">
        <v>46254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73404-2021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44551</v>
      </c>
      <c r="E346" s="1" t="n">
        <v>46254</v>
      </c>
      <c r="F346" t="inlineStr">
        <is>
          <t>KALMAR LÄN</t>
        </is>
      </c>
      <c r="G346" t="inlineStr">
        <is>
          <t>OSKARSHAMN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29619-2026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46199</v>
      </c>
      <c r="E347" s="1" t="n">
        <v>46254</v>
      </c>
      <c r="F347" t="inlineStr">
        <is>
          <t>KALMAR LÄN</t>
        </is>
      </c>
      <c r="G347" t="inlineStr">
        <is>
          <t>OSKARSHAMN</t>
        </is>
      </c>
      <c r="H347" t="inlineStr">
        <is>
          <t>Kommuner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46254</v>
      </c>
      <c r="F348" t="inlineStr">
        <is>
          <t>KALMAR LÄN</t>
        </is>
      </c>
      <c r="G348" t="inlineStr">
        <is>
          <t>OSKARSHAMN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46254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44505</v>
      </c>
      <c r="E350" s="1" t="n">
        <v>46254</v>
      </c>
      <c r="F350" t="inlineStr">
        <is>
          <t>KALMAR LÄN</t>
        </is>
      </c>
      <c r="G350" t="inlineStr">
        <is>
          <t>OSKARSHAMN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43165-2024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45567</v>
      </c>
      <c r="E351" s="1" t="n">
        <v>46254</v>
      </c>
      <c r="F351" t="inlineStr">
        <is>
          <t>KALMAR LÄN</t>
        </is>
      </c>
      <c r="G351" t="inlineStr">
        <is>
          <t>OSKARSHAMN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72786-2021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46254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46254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45406</v>
      </c>
      <c r="E354" s="1" t="n">
        <v>46254</v>
      </c>
      <c r="F354" t="inlineStr">
        <is>
          <t>KALMAR LÄN</t>
        </is>
      </c>
      <c r="G354" t="inlineStr">
        <is>
          <t>OSKARSHAMN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46254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45056</v>
      </c>
      <c r="E356" s="1" t="n">
        <v>46254</v>
      </c>
      <c r="F356" t="inlineStr">
        <is>
          <t>KALMAR LÄN</t>
        </is>
      </c>
      <c r="G356" t="inlineStr">
        <is>
          <t>OSKARSHAMN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46254</v>
      </c>
      <c r="F357" t="inlineStr">
        <is>
          <t>KALMAR LÄN</t>
        </is>
      </c>
      <c r="G357" t="inlineStr">
        <is>
          <t>OSKARSHAMN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46254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28100-2026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46195</v>
      </c>
      <c r="E359" s="1" t="n">
        <v>46254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45644</v>
      </c>
      <c r="E360" s="1" t="n">
        <v>46254</v>
      </c>
      <c r="F360" t="inlineStr">
        <is>
          <t>KALMAR LÄN</t>
        </is>
      </c>
      <c r="G360" t="inlineStr">
        <is>
          <t>OSKARSHAMN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46254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46254</v>
      </c>
      <c r="F362" t="inlineStr">
        <is>
          <t>KALMAR LÄN</t>
        </is>
      </c>
      <c r="G362" t="inlineStr">
        <is>
          <t>OSKARSHAMN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46243</v>
      </c>
      <c r="E363" s="1" t="n">
        <v>46254</v>
      </c>
      <c r="F363" t="inlineStr">
        <is>
          <t>KALMAR LÄN</t>
        </is>
      </c>
      <c r="G363" t="inlineStr">
        <is>
          <t>OSKARSHAMN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46254</v>
      </c>
      <c r="F364" t="inlineStr">
        <is>
          <t>KALMAR LÄN</t>
        </is>
      </c>
      <c r="G364" t="inlineStr">
        <is>
          <t>OSKARSHAMN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46244</v>
      </c>
      <c r="E365" s="1" t="n">
        <v>46254</v>
      </c>
      <c r="F365" t="inlineStr">
        <is>
          <t>KALMAR LÄN</t>
        </is>
      </c>
      <c r="G365" t="inlineStr">
        <is>
          <t>OSKARSHAMN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46243</v>
      </c>
      <c r="E366" s="1" t="n">
        <v>46254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44755</v>
      </c>
      <c r="E367" s="1" t="n">
        <v>46254</v>
      </c>
      <c r="F367" t="inlineStr">
        <is>
          <t>KALMAR LÄN</t>
        </is>
      </c>
      <c r="G367" t="inlineStr">
        <is>
          <t>OSKARSHAMN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50572-2024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45601</v>
      </c>
      <c r="E368" s="1" t="n">
        <v>46254</v>
      </c>
      <c r="F368" t="inlineStr">
        <is>
          <t>KALMAR LÄN</t>
        </is>
      </c>
      <c r="G368" t="inlineStr">
        <is>
          <t>OSKARSHAMN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46254</v>
      </c>
      <c r="F369" t="inlineStr">
        <is>
          <t>KALMAR LÄN</t>
        </is>
      </c>
      <c r="G369" t="inlineStr">
        <is>
          <t>OSKARSHAMN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46254</v>
      </c>
      <c r="F370" t="inlineStr">
        <is>
          <t>KALMAR LÄN</t>
        </is>
      </c>
      <c r="G370" t="inlineStr">
        <is>
          <t>OSKARSHAMN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46254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45240</v>
      </c>
      <c r="E372" s="1" t="n">
        <v>46254</v>
      </c>
      <c r="F372" t="inlineStr">
        <is>
          <t>KALMAR LÄN</t>
        </is>
      </c>
      <c r="G372" t="inlineStr">
        <is>
          <t>OSKARSHAMN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29172-2026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46254</v>
      </c>
      <c r="F373" t="inlineStr">
        <is>
          <t>KALMAR LÄN</t>
        </is>
      </c>
      <c r="G373" t="inlineStr">
        <is>
          <t>OSKARSHAMN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45687</v>
      </c>
      <c r="E374" s="1" t="n">
        <v>46254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46254</v>
      </c>
      <c r="F375" t="inlineStr">
        <is>
          <t>KALMAR LÄN</t>
        </is>
      </c>
      <c r="G375" t="inlineStr">
        <is>
          <t>OSKARSHAMN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46254</v>
      </c>
      <c r="F376" t="inlineStr">
        <is>
          <t>KALMAR LÄN</t>
        </is>
      </c>
      <c r="G376" t="inlineStr">
        <is>
          <t>OSKARSHAMN</t>
        </is>
      </c>
      <c r="I376" t="n">
        <v>15.3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46254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46254</v>
      </c>
      <c r="F378" t="inlineStr">
        <is>
          <t>KALMAR LÄN</t>
        </is>
      </c>
      <c r="G378" t="inlineStr">
        <is>
          <t>OSKARSHAMN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46254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46254</v>
      </c>
      <c r="F380" t="inlineStr">
        <is>
          <t>KALMAR LÄN</t>
        </is>
      </c>
      <c r="G380" t="inlineStr">
        <is>
          <t>OSKARSHAMN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44494</v>
      </c>
      <c r="E381" s="1" t="n">
        <v>46254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44879</v>
      </c>
      <c r="E382" s="1" t="n">
        <v>46254</v>
      </c>
      <c r="F382" t="inlineStr">
        <is>
          <t>KALMAR LÄN</t>
        </is>
      </c>
      <c r="G382" t="inlineStr">
        <is>
          <t>OSKARSHAMN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46254</v>
      </c>
      <c r="F383" t="inlineStr">
        <is>
          <t>KALMAR LÄN</t>
        </is>
      </c>
      <c r="G383" t="inlineStr">
        <is>
          <t>OSKARSHAMN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46254</v>
      </c>
      <c r="F384" t="inlineStr">
        <is>
          <t>KALMAR LÄN</t>
        </is>
      </c>
      <c r="G384" t="inlineStr">
        <is>
          <t>OSKARSHAMN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45526</v>
      </c>
      <c r="E385" s="1" t="n">
        <v>46254</v>
      </c>
      <c r="F385" t="inlineStr">
        <is>
          <t>KALMAR LÄN</t>
        </is>
      </c>
      <c r="G385" t="inlineStr">
        <is>
          <t>OSKARSHAMN</t>
        </is>
      </c>
      <c r="H385" t="inlineStr">
        <is>
          <t>Sveaskog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46254</v>
      </c>
      <c r="F386" t="inlineStr">
        <is>
          <t>KALMAR LÄN</t>
        </is>
      </c>
      <c r="G386" t="inlineStr">
        <is>
          <t>OSKARSHAMN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46254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46254</v>
      </c>
      <c r="F388" t="inlineStr">
        <is>
          <t>KALMAR LÄN</t>
        </is>
      </c>
      <c r="G388" t="inlineStr">
        <is>
          <t>OSKARSHAMN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46254</v>
      </c>
      <c r="F389" t="inlineStr">
        <is>
          <t>KALMAR LÄN</t>
        </is>
      </c>
      <c r="G389" t="inlineStr">
        <is>
          <t>OSKARSHAMN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46254</v>
      </c>
      <c r="F390" t="inlineStr">
        <is>
          <t>KALMAR LÄN</t>
        </is>
      </c>
      <c r="G390" t="inlineStr">
        <is>
          <t>OSKARSHAMN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46211</v>
      </c>
      <c r="E391" s="1" t="n">
        <v>46254</v>
      </c>
      <c r="F391" t="inlineStr">
        <is>
          <t>KALMAR LÄN</t>
        </is>
      </c>
      <c r="G391" t="inlineStr">
        <is>
          <t>OSKARSHAMN</t>
        </is>
      </c>
      <c r="I391" t="n">
        <v>13.6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44713</v>
      </c>
      <c r="E392" s="1" t="n">
        <v>46254</v>
      </c>
      <c r="F392" t="inlineStr">
        <is>
          <t>KALMAR LÄN</t>
        </is>
      </c>
      <c r="G392" t="inlineStr">
        <is>
          <t>OSKARSHAMN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46254</v>
      </c>
      <c r="F393" t="inlineStr">
        <is>
          <t>KALMAR LÄN</t>
        </is>
      </c>
      <c r="G393" t="inlineStr">
        <is>
          <t>OSKARSHAMN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26132-2023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45091</v>
      </c>
      <c r="E394" s="1" t="n">
        <v>46254</v>
      </c>
      <c r="F394" t="inlineStr">
        <is>
          <t>KALMAR LÄN</t>
        </is>
      </c>
      <c r="G394" t="inlineStr">
        <is>
          <t>OSKARSHAMN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46254</v>
      </c>
      <c r="F395" t="inlineStr">
        <is>
          <t>KALMAR LÄN</t>
        </is>
      </c>
      <c r="G395" t="inlineStr">
        <is>
          <t>OSKARSHAMN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33966-2026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46254</v>
      </c>
      <c r="F396" t="inlineStr">
        <is>
          <t>KALMAR LÄN</t>
        </is>
      </c>
      <c r="G396" t="inlineStr">
        <is>
          <t>OSKARSHAMN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46254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58095-2022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46254</v>
      </c>
      <c r="F398" t="inlineStr">
        <is>
          <t>KALMAR LÄN</t>
        </is>
      </c>
      <c r="G398" t="inlineStr">
        <is>
          <t>OSKARSHAMN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46254</v>
      </c>
      <c r="F399" t="inlineStr">
        <is>
          <t>KALMAR LÄN</t>
        </is>
      </c>
      <c r="G399" t="inlineStr">
        <is>
          <t>OSKARSHAMN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46254</v>
      </c>
      <c r="F400" t="inlineStr">
        <is>
          <t>KALMAR LÄN</t>
        </is>
      </c>
      <c r="G400" t="inlineStr">
        <is>
          <t>OSKARSHAMN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45341</v>
      </c>
      <c r="E401" s="1" t="n">
        <v>46254</v>
      </c>
      <c r="F401" t="inlineStr">
        <is>
          <t>KALMAR LÄN</t>
        </is>
      </c>
      <c r="G401" t="inlineStr">
        <is>
          <t>OSKARSHAMN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46254</v>
      </c>
      <c r="F402" t="inlineStr">
        <is>
          <t>KALMAR LÄN</t>
        </is>
      </c>
      <c r="G402" t="inlineStr">
        <is>
          <t>OSKARSHAMN</t>
        </is>
      </c>
      <c r="H402" t="inlineStr">
        <is>
          <t>Sveaskog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44711</v>
      </c>
      <c r="E403" s="1" t="n">
        <v>46254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44608</v>
      </c>
      <c r="E404" s="1" t="n">
        <v>46254</v>
      </c>
      <c r="F404" t="inlineStr">
        <is>
          <t>KALMAR LÄN</t>
        </is>
      </c>
      <c r="G404" t="inlineStr">
        <is>
          <t>OSKARSHAMN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44624</v>
      </c>
      <c r="E405" s="1" t="n">
        <v>46254</v>
      </c>
      <c r="F405" t="inlineStr">
        <is>
          <t>KALMAR LÄN</t>
        </is>
      </c>
      <c r="G405" t="inlineStr">
        <is>
          <t>OSKARSHAMN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45256</v>
      </c>
      <c r="E406" s="1" t="n">
        <v>46254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46254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46254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46254</v>
      </c>
      <c r="F409" t="inlineStr">
        <is>
          <t>KALMAR LÄN</t>
        </is>
      </c>
      <c r="G409" t="inlineStr">
        <is>
          <t>OSKARSHAMN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46000</v>
      </c>
      <c r="E410" s="1" t="n">
        <v>46254</v>
      </c>
      <c r="F410" t="inlineStr">
        <is>
          <t>KALMAR LÄN</t>
        </is>
      </c>
      <c r="G410" t="inlineStr">
        <is>
          <t>OSKARSHAMN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46001</v>
      </c>
      <c r="E411" s="1" t="n">
        <v>46254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46254</v>
      </c>
      <c r="F412" t="inlineStr">
        <is>
          <t>KALMAR LÄN</t>
        </is>
      </c>
      <c r="G412" t="inlineStr">
        <is>
          <t>OSKARSHAMN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46254</v>
      </c>
      <c r="F413" t="inlineStr">
        <is>
          <t>KALMAR LÄN</t>
        </is>
      </c>
      <c r="G413" t="inlineStr">
        <is>
          <t>OSKARSHAMN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46254</v>
      </c>
      <c r="F414" t="inlineStr">
        <is>
          <t>KALMAR LÄN</t>
        </is>
      </c>
      <c r="G414" t="inlineStr">
        <is>
          <t>OSKARSHAMN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46254</v>
      </c>
      <c r="F415" t="inlineStr">
        <is>
          <t>KALMAR LÄN</t>
        </is>
      </c>
      <c r="G415" t="inlineStr">
        <is>
          <t>OSKARSHAMN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46254</v>
      </c>
      <c r="F416" t="inlineStr">
        <is>
          <t>KALMAR LÄN</t>
        </is>
      </c>
      <c r="G416" t="inlineStr">
        <is>
          <t>OSKARSHAMN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46254</v>
      </c>
      <c r="F417" t="inlineStr">
        <is>
          <t>KALMAR LÄN</t>
        </is>
      </c>
      <c r="G417" t="inlineStr">
        <is>
          <t>OSKARSHAMN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46254</v>
      </c>
      <c r="F418" t="inlineStr">
        <is>
          <t>KALMAR LÄN</t>
        </is>
      </c>
      <c r="G418" t="inlineStr">
        <is>
          <t>OSKARSHAMN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51383-2021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44461</v>
      </c>
      <c r="E419" s="1" t="n">
        <v>46254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46254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46254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46254</v>
      </c>
      <c r="F422" t="inlineStr">
        <is>
          <t>KALMAR LÄN</t>
        </is>
      </c>
      <c r="G422" t="inlineStr">
        <is>
          <t>OSKARSHAMN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46254</v>
      </c>
      <c r="F423" t="inlineStr">
        <is>
          <t>KALMAR LÄN</t>
        </is>
      </c>
      <c r="G423" t="inlineStr">
        <is>
          <t>OSKARSHAMN</t>
        </is>
      </c>
      <c r="I423" t="n">
        <v>10.7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45560</v>
      </c>
      <c r="E424" s="1" t="n">
        <v>46254</v>
      </c>
      <c r="F424" t="inlineStr">
        <is>
          <t>KALMAR LÄN</t>
        </is>
      </c>
      <c r="G424" t="inlineStr">
        <is>
          <t>OSKARSHAMN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46254</v>
      </c>
      <c r="F425" t="inlineStr">
        <is>
          <t>KALMAR LÄN</t>
        </is>
      </c>
      <c r="G425" t="inlineStr">
        <is>
          <t>OSKARSHAMN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45691</v>
      </c>
      <c r="E426" s="1" t="n">
        <v>46254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57483-2021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44483</v>
      </c>
      <c r="E427" s="1" t="n">
        <v>46254</v>
      </c>
      <c r="F427" t="inlineStr">
        <is>
          <t>KALMAR LÄN</t>
        </is>
      </c>
      <c r="G427" t="inlineStr">
        <is>
          <t>OSKARSHAMN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46254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44585</v>
      </c>
      <c r="E429" s="1" t="n">
        <v>46254</v>
      </c>
      <c r="F429" t="inlineStr">
        <is>
          <t>KALMAR LÄN</t>
        </is>
      </c>
      <c r="G429" t="inlineStr">
        <is>
          <t>OSKARSHAMN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46254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46254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46254</v>
      </c>
      <c r="F432" t="inlineStr">
        <is>
          <t>KALMAR LÄN</t>
        </is>
      </c>
      <c r="G432" t="inlineStr">
        <is>
          <t>OSKARSHAMN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45056</v>
      </c>
      <c r="E433" s="1" t="n">
        <v>46254</v>
      </c>
      <c r="F433" t="inlineStr">
        <is>
          <t>KALMAR LÄN</t>
        </is>
      </c>
      <c r="G433" t="inlineStr">
        <is>
          <t>OSKARSHAMN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46254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46977-2021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44446</v>
      </c>
      <c r="E435" s="1" t="n">
        <v>46254</v>
      </c>
      <c r="F435" t="inlineStr">
        <is>
          <t>KALMAR LÄN</t>
        </is>
      </c>
      <c r="G435" t="inlineStr">
        <is>
          <t>OSKARSHAMN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46254</v>
      </c>
      <c r="F436" t="inlineStr">
        <is>
          <t>KALMAR LÄN</t>
        </is>
      </c>
      <c r="G436" t="inlineStr">
        <is>
          <t>OSKARSHAMN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46254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45448</v>
      </c>
      <c r="E438" s="1" t="n">
        <v>46254</v>
      </c>
      <c r="F438" t="inlineStr">
        <is>
          <t>KALMAR LÄN</t>
        </is>
      </c>
      <c r="G438" t="inlineStr">
        <is>
          <t>OSKARSHAMN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45015</v>
      </c>
      <c r="E439" s="1" t="n">
        <v>46254</v>
      </c>
      <c r="F439" t="inlineStr">
        <is>
          <t>KALMAR LÄN</t>
        </is>
      </c>
      <c r="G439" t="inlineStr">
        <is>
          <t>OSKARSHAMN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46254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46254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46254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46254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46254</v>
      </c>
      <c r="F444" t="inlineStr">
        <is>
          <t>KALMAR LÄN</t>
        </is>
      </c>
      <c r="G444" t="inlineStr">
        <is>
          <t>OSKARSHAMN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45252</v>
      </c>
      <c r="E445" s="1" t="n">
        <v>46254</v>
      </c>
      <c r="F445" t="inlineStr">
        <is>
          <t>KALMAR LÄN</t>
        </is>
      </c>
      <c r="G445" t="inlineStr">
        <is>
          <t>OSKARSHAMN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46254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62995-2025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46009</v>
      </c>
      <c r="E447" s="1" t="n">
        <v>46254</v>
      </c>
      <c r="F447" t="inlineStr">
        <is>
          <t>KALMAR LÄN</t>
        </is>
      </c>
      <c r="G447" t="inlineStr">
        <is>
          <t>OSKARSHAMN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27919-2023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46254</v>
      </c>
      <c r="F448" t="inlineStr">
        <is>
          <t>KALMAR LÄN</t>
        </is>
      </c>
      <c r="G448" t="inlineStr">
        <is>
          <t>OSKARSHAMN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46254</v>
      </c>
      <c r="F449" t="inlineStr">
        <is>
          <t>KALMAR LÄN</t>
        </is>
      </c>
      <c r="G449" t="inlineStr">
        <is>
          <t>OSKARSHAMN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45580</v>
      </c>
      <c r="E450" s="1" t="n">
        <v>46254</v>
      </c>
      <c r="F450" t="inlineStr">
        <is>
          <t>KALMAR LÄN</t>
        </is>
      </c>
      <c r="G450" t="inlineStr">
        <is>
          <t>OSKARSHAMN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46254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56576-2024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45625</v>
      </c>
      <c r="E452" s="1" t="n">
        <v>46254</v>
      </c>
      <c r="F452" t="inlineStr">
        <is>
          <t>KALMAR LÄN</t>
        </is>
      </c>
      <c r="G452" t="inlineStr">
        <is>
          <t>OSKARSHAMN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46254</v>
      </c>
      <c r="F453" t="inlineStr">
        <is>
          <t>KALMAR LÄN</t>
        </is>
      </c>
      <c r="G453" t="inlineStr">
        <is>
          <t>OSKARSHAMN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25867-2022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44733</v>
      </c>
      <c r="E454" s="1" t="n">
        <v>46254</v>
      </c>
      <c r="F454" t="inlineStr">
        <is>
          <t>KALMAR LÄN</t>
        </is>
      </c>
      <c r="G454" t="inlineStr">
        <is>
          <t>OSKARSHAMN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46254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46254</v>
      </c>
      <c r="F456" t="inlineStr">
        <is>
          <t>KALMAR LÄN</t>
        </is>
      </c>
      <c r="G456" t="inlineStr">
        <is>
          <t>OSKARSHAMN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46254</v>
      </c>
      <c r="F457" t="inlineStr">
        <is>
          <t>KALMAR LÄN</t>
        </is>
      </c>
      <c r="G457" t="inlineStr">
        <is>
          <t>OSKARSHAMN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46254</v>
      </c>
      <c r="F458" t="inlineStr">
        <is>
          <t>KALMAR LÄN</t>
        </is>
      </c>
      <c r="G458" t="inlineStr">
        <is>
          <t>OSKARSHAMN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45218</v>
      </c>
      <c r="E459" s="1" t="n">
        <v>46254</v>
      </c>
      <c r="F459" t="inlineStr">
        <is>
          <t>KALMAR LÄN</t>
        </is>
      </c>
      <c r="G459" t="inlineStr">
        <is>
          <t>OSKARSHAMN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45092</v>
      </c>
      <c r="E460" s="1" t="n">
        <v>46254</v>
      </c>
      <c r="F460" t="inlineStr">
        <is>
          <t>KALMAR LÄN</t>
        </is>
      </c>
      <c r="G460" t="inlineStr">
        <is>
          <t>OSKARSHAMN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17179-2023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45034</v>
      </c>
      <c r="E461" s="1" t="n">
        <v>46254</v>
      </c>
      <c r="F461" t="inlineStr">
        <is>
          <t>KALMAR LÄN</t>
        </is>
      </c>
      <c r="G461" t="inlineStr">
        <is>
          <t>OSKARSHAMN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45490</v>
      </c>
      <c r="E462" s="1" t="n">
        <v>46254</v>
      </c>
      <c r="F462" t="inlineStr">
        <is>
          <t>KALMAR LÄN</t>
        </is>
      </c>
      <c r="G462" t="inlineStr">
        <is>
          <t>OSKARSHAMN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46254</v>
      </c>
      <c r="F463" t="inlineStr">
        <is>
          <t>KALMAR LÄN</t>
        </is>
      </c>
      <c r="G463" t="inlineStr">
        <is>
          <t>OSKARSHAMN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9101-2026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46254</v>
      </c>
      <c r="F464" t="inlineStr">
        <is>
          <t>KALMAR LÄN</t>
        </is>
      </c>
      <c r="G464" t="inlineStr">
        <is>
          <t>OSKARSHAMN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46254</v>
      </c>
      <c r="F465" t="inlineStr">
        <is>
          <t>KALMAR LÄN</t>
        </is>
      </c>
      <c r="G465" t="inlineStr">
        <is>
          <t>OSKARSHAMN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59002-2021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44490</v>
      </c>
      <c r="E466" s="1" t="n">
        <v>46254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46254</v>
      </c>
      <c r="F467" t="inlineStr">
        <is>
          <t>KALMAR LÄN</t>
        </is>
      </c>
      <c r="G467" t="inlineStr">
        <is>
          <t>OSKARSHAMN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45720</v>
      </c>
      <c r="E468" s="1" t="n">
        <v>46254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46254</v>
      </c>
      <c r="F469" t="inlineStr">
        <is>
          <t>KALMAR LÄN</t>
        </is>
      </c>
      <c r="G469" t="inlineStr">
        <is>
          <t>OSKARSHAMN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46254</v>
      </c>
      <c r="F470" t="inlineStr">
        <is>
          <t>KALMAR LÄN</t>
        </is>
      </c>
      <c r="G470" t="inlineStr">
        <is>
          <t>OSKARSHAMN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46254</v>
      </c>
      <c r="F471" t="inlineStr">
        <is>
          <t>KALMAR LÄN</t>
        </is>
      </c>
      <c r="G471" t="inlineStr">
        <is>
          <t>OSKARSHAMN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46254</v>
      </c>
      <c r="F472" t="inlineStr">
        <is>
          <t>KALMAR LÄN</t>
        </is>
      </c>
      <c r="G472" t="inlineStr">
        <is>
          <t>OSKARSHAMN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27827-2023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46254</v>
      </c>
      <c r="F473" t="inlineStr">
        <is>
          <t>KALMAR LÄN</t>
        </is>
      </c>
      <c r="G473" t="inlineStr">
        <is>
          <t>OSKARSHAMN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62322-2023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45267</v>
      </c>
      <c r="E474" s="1" t="n">
        <v>46254</v>
      </c>
      <c r="F474" t="inlineStr">
        <is>
          <t>KALMAR LÄN</t>
        </is>
      </c>
      <c r="G474" t="inlineStr">
        <is>
          <t>OSKARSHAMN</t>
        </is>
      </c>
      <c r="H474" t="inlineStr">
        <is>
          <t>Sveaskog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45391</v>
      </c>
      <c r="E475" s="1" t="n">
        <v>46254</v>
      </c>
      <c r="F475" t="inlineStr">
        <is>
          <t>KALMAR LÄN</t>
        </is>
      </c>
      <c r="G475" t="inlineStr">
        <is>
          <t>OSKARSHAMN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45490</v>
      </c>
      <c r="E476" s="1" t="n">
        <v>46254</v>
      </c>
      <c r="F476" t="inlineStr">
        <is>
          <t>KALMAR LÄN</t>
        </is>
      </c>
      <c r="G476" t="inlineStr">
        <is>
          <t>OSKARSHAMN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46254</v>
      </c>
      <c r="F477" t="inlineStr">
        <is>
          <t>KALMAR LÄN</t>
        </is>
      </c>
      <c r="G477" t="inlineStr">
        <is>
          <t>OSKARSHAMN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45105</v>
      </c>
      <c r="E478" s="1" t="n">
        <v>46254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46254</v>
      </c>
      <c r="F479" t="inlineStr">
        <is>
          <t>KALMAR LÄN</t>
        </is>
      </c>
      <c r="G479" t="inlineStr">
        <is>
          <t>OSKARSHAMN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18346-2023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45041</v>
      </c>
      <c r="E480" s="1" t="n">
        <v>46254</v>
      </c>
      <c r="F480" t="inlineStr">
        <is>
          <t>KALMAR LÄN</t>
        </is>
      </c>
      <c r="G480" t="inlineStr">
        <is>
          <t>OSKARSHAMN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46254</v>
      </c>
      <c r="F481" t="inlineStr">
        <is>
          <t>KALMAR LÄN</t>
        </is>
      </c>
      <c r="G481" t="inlineStr">
        <is>
          <t>OSKARSHAMN</t>
        </is>
      </c>
      <c r="I481" t="n">
        <v>10.8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46254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45405</v>
      </c>
      <c r="E483" s="1" t="n">
        <v>46254</v>
      </c>
      <c r="F483" t="inlineStr">
        <is>
          <t>KALMAR LÄN</t>
        </is>
      </c>
      <c r="G483" t="inlineStr">
        <is>
          <t>OSKARSHAMN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46254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50922-2022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44865</v>
      </c>
      <c r="E485" s="1" t="n">
        <v>46254</v>
      </c>
      <c r="F485" t="inlineStr">
        <is>
          <t>KALMAR LÄN</t>
        </is>
      </c>
      <c r="G485" t="inlineStr">
        <is>
          <t>OSKARSHAMN</t>
        </is>
      </c>
      <c r="H485" t="inlineStr">
        <is>
          <t>Övriga Aktiebolag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45258</v>
      </c>
      <c r="E486" s="1" t="n">
        <v>46254</v>
      </c>
      <c r="F486" t="inlineStr">
        <is>
          <t>KALMAR LÄN</t>
        </is>
      </c>
      <c r="G486" t="inlineStr">
        <is>
          <t>OSKARSHAMN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46254</v>
      </c>
      <c r="F487" t="inlineStr">
        <is>
          <t>KALMAR LÄN</t>
        </is>
      </c>
      <c r="G487" t="inlineStr">
        <is>
          <t>OSKARSHAMN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46254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45490</v>
      </c>
      <c r="E489" s="1" t="n">
        <v>46254</v>
      </c>
      <c r="F489" t="inlineStr">
        <is>
          <t>KALMAR LÄN</t>
        </is>
      </c>
      <c r="G489" t="inlineStr">
        <is>
          <t>OSKARSHAMN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46254</v>
      </c>
      <c r="F490" t="inlineStr">
        <is>
          <t>KALMAR LÄN</t>
        </is>
      </c>
      <c r="G490" t="inlineStr">
        <is>
          <t>OSKARSHAMN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46068-2023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46254</v>
      </c>
      <c r="F491" t="inlineStr">
        <is>
          <t>KALMAR LÄN</t>
        </is>
      </c>
      <c r="G491" t="inlineStr">
        <is>
          <t>OSKARSHAMN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51721-2024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46254</v>
      </c>
      <c r="F492" t="inlineStr">
        <is>
          <t>KALMAR LÄN</t>
        </is>
      </c>
      <c r="G492" t="inlineStr">
        <is>
          <t>OSKARSHAMN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45218</v>
      </c>
      <c r="E493" s="1" t="n">
        <v>46254</v>
      </c>
      <c r="F493" t="inlineStr">
        <is>
          <t>KALMAR LÄN</t>
        </is>
      </c>
      <c r="G493" t="inlineStr">
        <is>
          <t>OSKARSHAMN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46254</v>
      </c>
      <c r="F494" t="inlineStr">
        <is>
          <t>KALMAR LÄN</t>
        </is>
      </c>
      <c r="G494" t="inlineStr">
        <is>
          <t>OSKARSHAMN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45314</v>
      </c>
      <c r="E495" s="1" t="n">
        <v>46254</v>
      </c>
      <c r="F495" t="inlineStr">
        <is>
          <t>KALMAR LÄN</t>
        </is>
      </c>
      <c r="G495" t="inlineStr">
        <is>
          <t>OSKARSHAMN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17623-2023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46254</v>
      </c>
      <c r="F496" t="inlineStr">
        <is>
          <t>KALMAR LÄN</t>
        </is>
      </c>
      <c r="G496" t="inlineStr">
        <is>
          <t>OSKARSHAMN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46098</v>
      </c>
      <c r="E497" s="1" t="n">
        <v>46254</v>
      </c>
      <c r="F497" t="inlineStr">
        <is>
          <t>KALMAR LÄN</t>
        </is>
      </c>
      <c r="G497" t="inlineStr">
        <is>
          <t>OSKARSHAMN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45553</v>
      </c>
      <c r="E498" s="1" t="n">
        <v>46254</v>
      </c>
      <c r="F498" t="inlineStr">
        <is>
          <t>KALMAR LÄN</t>
        </is>
      </c>
      <c r="G498" t="inlineStr">
        <is>
          <t>OSKARSHAMN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46254</v>
      </c>
      <c r="F499" t="inlineStr">
        <is>
          <t>KALMAR LÄN</t>
        </is>
      </c>
      <c r="G499" t="inlineStr">
        <is>
          <t>OSKARSHAMN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46254</v>
      </c>
      <c r="F500" t="inlineStr">
        <is>
          <t>KALMAR LÄN</t>
        </is>
      </c>
      <c r="G500" t="inlineStr">
        <is>
          <t>OSKARSHAMN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15525-2026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46106</v>
      </c>
      <c r="E501" s="1" t="n">
        <v>46254</v>
      </c>
      <c r="F501" t="inlineStr">
        <is>
          <t>KALMAR LÄN</t>
        </is>
      </c>
      <c r="G501" t="inlineStr">
        <is>
          <t>OSKARSHAMN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46254</v>
      </c>
      <c r="F502" t="inlineStr">
        <is>
          <t>KALMAR LÄN</t>
        </is>
      </c>
      <c r="G502" t="inlineStr">
        <is>
          <t>OSKARSHAMN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13204-2024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45386</v>
      </c>
      <c r="E503" s="1" t="n">
        <v>46254</v>
      </c>
      <c r="F503" t="inlineStr">
        <is>
          <t>KALMAR LÄN</t>
        </is>
      </c>
      <c r="G503" t="inlineStr">
        <is>
          <t>OSKARSHAMN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46254</v>
      </c>
      <c r="F504" t="inlineStr">
        <is>
          <t>KALMAR LÄN</t>
        </is>
      </c>
      <c r="G504" t="inlineStr">
        <is>
          <t>OSKARSHAMN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55569-2024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45621</v>
      </c>
      <c r="E505" s="1" t="n">
        <v>46254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46254</v>
      </c>
      <c r="F506" t="inlineStr">
        <is>
          <t>KALMAR LÄN</t>
        </is>
      </c>
      <c r="G506" t="inlineStr">
        <is>
          <t>OSKARSHAMN</t>
        </is>
      </c>
      <c r="H506" t="inlineStr">
        <is>
          <t>Kommuner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46254</v>
      </c>
      <c r="F507" t="inlineStr">
        <is>
          <t>KALMAR LÄN</t>
        </is>
      </c>
      <c r="G507" t="inlineStr">
        <is>
          <t>OSKARSHAMN</t>
        </is>
      </c>
      <c r="H507" t="inlineStr">
        <is>
          <t>Kommuner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45643</v>
      </c>
      <c r="E508" s="1" t="n">
        <v>46254</v>
      </c>
      <c r="F508" t="inlineStr">
        <is>
          <t>KALMAR LÄN</t>
        </is>
      </c>
      <c r="G508" t="inlineStr">
        <is>
          <t>OSKARSHAMN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45708</v>
      </c>
      <c r="E509" s="1" t="n">
        <v>46254</v>
      </c>
      <c r="F509" t="inlineStr">
        <is>
          <t>KALMAR LÄN</t>
        </is>
      </c>
      <c r="G509" t="inlineStr">
        <is>
          <t>OSKARSHAMN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59075-2021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44489</v>
      </c>
      <c r="E510" s="1" t="n">
        <v>46254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11933-2023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44995</v>
      </c>
      <c r="E511" s="1" t="n">
        <v>46254</v>
      </c>
      <c r="F511" t="inlineStr">
        <is>
          <t>KALMAR LÄN</t>
        </is>
      </c>
      <c r="G511" t="inlineStr">
        <is>
          <t>OSKARSHAMN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46254</v>
      </c>
      <c r="F512" t="inlineStr">
        <is>
          <t>KALMAR LÄN</t>
        </is>
      </c>
      <c r="G512" t="inlineStr">
        <is>
          <t>OSKARSHAMN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46254</v>
      </c>
      <c r="F513" t="inlineStr">
        <is>
          <t>KALMAR LÄN</t>
        </is>
      </c>
      <c r="G513" t="inlineStr">
        <is>
          <t>OSKARSHAMN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46254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45099</v>
      </c>
      <c r="E515" s="1" t="n">
        <v>46254</v>
      </c>
      <c r="F515" t="inlineStr">
        <is>
          <t>KALMAR LÄN</t>
        </is>
      </c>
      <c r="G515" t="inlineStr">
        <is>
          <t>OSKARSHAMN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46254</v>
      </c>
      <c r="F516" t="inlineStr">
        <is>
          <t>KALMAR LÄN</t>
        </is>
      </c>
      <c r="G516" t="inlineStr">
        <is>
          <t>OSKARSHAMN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43931-2024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46254</v>
      </c>
      <c r="F517" t="inlineStr">
        <is>
          <t>KALMAR LÄN</t>
        </is>
      </c>
      <c r="G517" t="inlineStr">
        <is>
          <t>OSKARSHAMN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46254</v>
      </c>
      <c r="F518" t="inlineStr">
        <is>
          <t>KALMAR LÄN</t>
        </is>
      </c>
      <c r="G518" t="inlineStr">
        <is>
          <t>OSKARSHAMN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58406-2021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44488</v>
      </c>
      <c r="E519" s="1" t="n">
        <v>46254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18978-2026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46128</v>
      </c>
      <c r="E520" s="1" t="n">
        <v>46254</v>
      </c>
      <c r="F520" t="inlineStr">
        <is>
          <t>KALMAR LÄN</t>
        </is>
      </c>
      <c r="G520" t="inlineStr">
        <is>
          <t>OSKARSHAMN</t>
        </is>
      </c>
      <c r="H520" t="inlineStr">
        <is>
          <t>Kommuner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46254</v>
      </c>
      <c r="F521" t="inlineStr">
        <is>
          <t>KALMAR LÄN</t>
        </is>
      </c>
      <c r="G521" t="inlineStr">
        <is>
          <t>OSKARSHAMN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46254</v>
      </c>
      <c r="F522" t="inlineStr">
        <is>
          <t>KALMAR LÄN</t>
        </is>
      </c>
      <c r="G522" t="inlineStr">
        <is>
          <t>OSKARSHAMN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46254</v>
      </c>
      <c r="F523" t="inlineStr">
        <is>
          <t>KALMAR LÄN</t>
        </is>
      </c>
      <c r="G523" t="inlineStr">
        <is>
          <t>OSKARSHAMN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16215-2023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45028</v>
      </c>
      <c r="E524" s="1" t="n">
        <v>46254</v>
      </c>
      <c r="F524" t="inlineStr">
        <is>
          <t>KALMAR LÄN</t>
        </is>
      </c>
      <c r="G524" t="inlineStr">
        <is>
          <t>OSKARSHAMN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14129-2025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45740</v>
      </c>
      <c r="E525" s="1" t="n">
        <v>46254</v>
      </c>
      <c r="F525" t="inlineStr">
        <is>
          <t>KALMAR LÄN</t>
        </is>
      </c>
      <c r="G525" t="inlineStr">
        <is>
          <t>OSKARSHAMN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46254</v>
      </c>
      <c r="F526" t="inlineStr">
        <is>
          <t>KALMAR LÄN</t>
        </is>
      </c>
      <c r="G526" t="inlineStr">
        <is>
          <t>OSKARSHAMN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46254</v>
      </c>
      <c r="F527" t="inlineStr">
        <is>
          <t>KALMAR LÄN</t>
        </is>
      </c>
      <c r="G527" t="inlineStr">
        <is>
          <t>OSKARSHAMN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45469</v>
      </c>
      <c r="E528" s="1" t="n">
        <v>46254</v>
      </c>
      <c r="F528" t="inlineStr">
        <is>
          <t>KALMAR LÄN</t>
        </is>
      </c>
      <c r="G528" t="inlineStr">
        <is>
          <t>OSKARSHAMN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45979</v>
      </c>
      <c r="E529" s="1" t="n">
        <v>46254</v>
      </c>
      <c r="F529" t="inlineStr">
        <is>
          <t>KALMAR LÄN</t>
        </is>
      </c>
      <c r="G529" t="inlineStr">
        <is>
          <t>OSKARSHAMN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46254</v>
      </c>
      <c r="F530" t="inlineStr">
        <is>
          <t>KALMAR LÄN</t>
        </is>
      </c>
      <c r="G530" t="inlineStr">
        <is>
          <t>OSKARSHAMN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47638-2025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45931</v>
      </c>
      <c r="E531" s="1" t="n">
        <v>46254</v>
      </c>
      <c r="F531" t="inlineStr">
        <is>
          <t>KALMAR LÄN</t>
        </is>
      </c>
      <c r="G531" t="inlineStr">
        <is>
          <t>OSKARSHAMN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45908</v>
      </c>
      <c r="E532" s="1" t="n">
        <v>46254</v>
      </c>
      <c r="F532" t="inlineStr">
        <is>
          <t>KALMAR LÄN</t>
        </is>
      </c>
      <c r="G532" t="inlineStr">
        <is>
          <t>OSKARSHAMN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45832</v>
      </c>
      <c r="E533" s="1" t="n">
        <v>46254</v>
      </c>
      <c r="F533" t="inlineStr">
        <is>
          <t>KALMAR LÄN</t>
        </is>
      </c>
      <c r="G533" t="inlineStr">
        <is>
          <t>OSKARSHAMN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46254</v>
      </c>
      <c r="F534" t="inlineStr">
        <is>
          <t>KALMAR LÄN</t>
        </is>
      </c>
      <c r="G534" t="inlineStr">
        <is>
          <t>OSKARSHAMN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42875-2025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45908</v>
      </c>
      <c r="E535" s="1" t="n">
        <v>46254</v>
      </c>
      <c r="F535" t="inlineStr">
        <is>
          <t>KALMAR LÄN</t>
        </is>
      </c>
      <c r="G535" t="inlineStr">
        <is>
          <t>OSKARSHAMN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46254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46254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45233</v>
      </c>
      <c r="E538" s="1" t="n">
        <v>46254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45224</v>
      </c>
      <c r="E539" s="1" t="n">
        <v>46254</v>
      </c>
      <c r="F539" t="inlineStr">
        <is>
          <t>KALMAR LÄN</t>
        </is>
      </c>
      <c r="G539" t="inlineStr">
        <is>
          <t>OSKARSHAMN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46254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46254</v>
      </c>
      <c r="F541" t="inlineStr">
        <is>
          <t>KALMAR LÄN</t>
        </is>
      </c>
      <c r="G541" t="inlineStr">
        <is>
          <t>OSKARSHAMN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46254</v>
      </c>
      <c r="F542" t="inlineStr">
        <is>
          <t>KALMAR LÄN</t>
        </is>
      </c>
      <c r="G542" t="inlineStr">
        <is>
          <t>OSKARSHAMN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46254</v>
      </c>
      <c r="F543" t="inlineStr">
        <is>
          <t>KALMAR LÄN</t>
        </is>
      </c>
      <c r="G543" t="inlineStr">
        <is>
          <t>OSKARSHAMN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45763</v>
      </c>
      <c r="E544" s="1" t="n">
        <v>46254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45754</v>
      </c>
      <c r="E545" s="1" t="n">
        <v>46254</v>
      </c>
      <c r="F545" t="inlineStr">
        <is>
          <t>KALMAR LÄN</t>
        </is>
      </c>
      <c r="G545" t="inlineStr">
        <is>
          <t>OSKARSHAMN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12567-2024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45379</v>
      </c>
      <c r="E546" s="1" t="n">
        <v>46254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45796</v>
      </c>
      <c r="E547" s="1" t="n">
        <v>46254</v>
      </c>
      <c r="F547" t="inlineStr">
        <is>
          <t>KALMAR LÄN</t>
        </is>
      </c>
      <c r="G547" t="inlineStr">
        <is>
          <t>OSKARSHAMN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47956-2023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46254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45526</v>
      </c>
      <c r="E549" s="1" t="n">
        <v>46254</v>
      </c>
      <c r="F549" t="inlineStr">
        <is>
          <t>KALMAR LÄN</t>
        </is>
      </c>
      <c r="G549" t="inlineStr">
        <is>
          <t>OSKARSHAMN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16558-2024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46254</v>
      </c>
      <c r="F550" t="inlineStr">
        <is>
          <t>KALMAR LÄN</t>
        </is>
      </c>
      <c r="G550" t="inlineStr">
        <is>
          <t>OSKARSHAMN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26127-2025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45805</v>
      </c>
      <c r="E551" s="1" t="n">
        <v>46254</v>
      </c>
      <c r="F551" t="inlineStr">
        <is>
          <t>KALMAR LÄN</t>
        </is>
      </c>
      <c r="G551" t="inlineStr">
        <is>
          <t>OSKARSHAMN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26996-2025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45811</v>
      </c>
      <c r="E552" s="1" t="n">
        <v>46254</v>
      </c>
      <c r="F552" t="inlineStr">
        <is>
          <t>KALMAR LÄN</t>
        </is>
      </c>
      <c r="G552" t="inlineStr">
        <is>
          <t>OSKARSHAMN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28254-2025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46254</v>
      </c>
      <c r="F553" t="inlineStr">
        <is>
          <t>KALMAR LÄN</t>
        </is>
      </c>
      <c r="G553" t="inlineStr">
        <is>
          <t>OSKARSHAMN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46254</v>
      </c>
      <c r="F554" t="inlineStr">
        <is>
          <t>KALMAR LÄN</t>
        </is>
      </c>
      <c r="G554" t="inlineStr">
        <is>
          <t>OSKARSHAMN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26336-2025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45805</v>
      </c>
      <c r="E555" s="1" t="n">
        <v>46254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30956-2025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46254</v>
      </c>
      <c r="F556" t="inlineStr">
        <is>
          <t>KALMAR LÄN</t>
        </is>
      </c>
      <c r="G556" t="inlineStr">
        <is>
          <t>OSKARSHAMN</t>
        </is>
      </c>
      <c r="I556" t="n">
        <v>11.7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46254</v>
      </c>
      <c r="F557" t="inlineStr">
        <is>
          <t>KALMAR LÄN</t>
        </is>
      </c>
      <c r="G557" t="inlineStr">
        <is>
          <t>OSKARSHAMN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46254</v>
      </c>
      <c r="F558" t="inlineStr">
        <is>
          <t>KALMAR LÄN</t>
        </is>
      </c>
      <c r="G558" t="inlineStr">
        <is>
          <t>OSKARSHAMN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45792</v>
      </c>
      <c r="E559" s="1" t="n">
        <v>46254</v>
      </c>
      <c r="F559" t="inlineStr">
        <is>
          <t>KALMAR LÄN</t>
        </is>
      </c>
      <c r="G559" t="inlineStr">
        <is>
          <t>OSKARSHAMN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46254</v>
      </c>
      <c r="F560" t="inlineStr">
        <is>
          <t>KALMAR LÄN</t>
        </is>
      </c>
      <c r="G560" t="inlineStr">
        <is>
          <t>OSKARSHAMN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46254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46254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61028-2024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46254</v>
      </c>
      <c r="F563" t="inlineStr">
        <is>
          <t>KALMAR LÄN</t>
        </is>
      </c>
      <c r="G563" t="inlineStr">
        <is>
          <t>OSKARSHAMN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45756</v>
      </c>
      <c r="E564" s="1" t="n">
        <v>46254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46254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46254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46254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46254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46254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6585-2021</t>
        </is>
      </c>
      <c r="B570" t="inlineStr">
        <is>
          <t>samrådsanmälan</t>
        </is>
      </c>
      <c r="C570" t="inlineStr">
        <is>
          <t>Dikesrensning</t>
        </is>
      </c>
      <c r="D570" s="1" t="n">
        <v>44455</v>
      </c>
      <c r="E570" s="1" t="n">
        <v>46254</v>
      </c>
      <c r="F570" t="inlineStr">
        <is>
          <t>KALMAR LÄN</t>
        </is>
      </c>
      <c r="G570" t="inlineStr">
        <is>
          <t>OSKARSHAMN</t>
        </is>
      </c>
      <c r="H570" t="inlineStr">
        <is>
          <t>Sveaskog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4600-2023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45287</v>
      </c>
      <c r="E571" s="1" t="n">
        <v>46254</v>
      </c>
      <c r="F571" t="inlineStr">
        <is>
          <t>KALMAR LÄN</t>
        </is>
      </c>
      <c r="G571" t="inlineStr">
        <is>
          <t>OSKARSHAMN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46254</v>
      </c>
      <c r="F572" t="inlineStr">
        <is>
          <t>KALMAR LÄN</t>
        </is>
      </c>
      <c r="G572" t="inlineStr">
        <is>
          <t>OSKARSHAMN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46254</v>
      </c>
      <c r="F573" t="inlineStr">
        <is>
          <t>KALMAR LÄN</t>
        </is>
      </c>
      <c r="G573" t="inlineStr">
        <is>
          <t>OSKARSHAMN</t>
        </is>
      </c>
      <c r="I573" t="n">
        <v>12.5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46254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46254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46254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46254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46254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46254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46254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46254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44665</v>
      </c>
      <c r="E582" s="1" t="n">
        <v>46254</v>
      </c>
      <c r="F582" t="inlineStr">
        <is>
          <t>KALMAR LÄN</t>
        </is>
      </c>
      <c r="G582" t="inlineStr">
        <is>
          <t>OSKARSHAMN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1437-2022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44634</v>
      </c>
      <c r="E583" s="1" t="n">
        <v>46254</v>
      </c>
      <c r="F583" t="inlineStr">
        <is>
          <t>KALMAR LÄN</t>
        </is>
      </c>
      <c r="G583" t="inlineStr">
        <is>
          <t>OSKARSHAMN</t>
        </is>
      </c>
      <c r="I583" t="n">
        <v>24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46254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46254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46254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46254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46254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2026-08-20T01:48:32Z</dcterms:created>
  <dcterms:modified xmlns:dcterms="http://purl.org/dc/terms/" xmlns:xsi="http://www.w3.org/2001/XMLSchema-instance" xsi:type="dcterms:W3CDTF">2026-08-20T01:48:33Z</dcterms:modified>
</cp:coreProperties>
</file>