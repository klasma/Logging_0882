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46290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46290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46290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46290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46290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46290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46290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46290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46290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46290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46290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46290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46290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46290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46290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46290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46290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46290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46290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46290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46290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46290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46290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46290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46290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46290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46290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46290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46290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46290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46290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46290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24769-2025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46290</v>
      </c>
      <c r="F51" t="inlineStr">
        <is>
          <t>KALMAR LÄN</t>
        </is>
      </c>
      <c r="G51" t="inlineStr">
        <is>
          <t>OSKARSHAMN</t>
        </is>
      </c>
      <c r="I51" t="n">
        <v>1.7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HYPERLINK("https://klasma.github.io/Logging_0882/artfynd/A 24769-2025 artfynd.xlsx", "A 24769-2025")</f>
        <v/>
      </c>
      <c r="X51">
        <f>HYPERLINK("https://klasma.github.io/Logging_0882/kartor/A 24769-2025 karta.png", "A 24769-2025")</f>
        <v/>
      </c>
      <c r="Y51">
        <f>HYPERLINK("https://klasma.github.io/Logging_0882/kartor_geotiff/A 24769-2025 georefererad karta.tif", "A 24769-2025")</f>
        <v/>
      </c>
      <c r="AA51">
        <f>HYPERLINK("https://klasma.github.io/Logging_0882/klagomål/A 24769-2025 FSC-klagomål.docx", "A 24769-2025")</f>
        <v/>
      </c>
      <c r="AB51">
        <f>HYPERLINK("https://klasma.github.io/Logging_0882/klagomålsmail/A 24769-2025 FSC-klagomål mail.docx", "A 24769-2025")</f>
        <v/>
      </c>
      <c r="AC51">
        <f>HYPERLINK("https://klasma.github.io/Logging_0882/tillsyn/A 24769-2025 tillsynsbegäran.docx", "A 24769-2025")</f>
        <v/>
      </c>
      <c r="AD51">
        <f>HYPERLINK("https://klasma.github.io/Logging_0882/tillsynsmail/A 24769-2025 tillsynsbegäran mail.docx", "A 24769-2025")</f>
        <v/>
      </c>
      <c r="AE51">
        <f>HYPERLINK("https://klasma.github.io/Logging_0882/fåglar/A 24769-2025 prioriterade fågelarter.docx", "A 24769-2025")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46290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46290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46290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46290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46290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46290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HYPERLINK("https://klasma.github.io/Logging_0882/artfynd/A 13715-2026 artfynd.xlsx", "A 13715-2026")</f>
        <v/>
      </c>
      <c r="X57">
        <f>HYPERLINK("https://klasma.github.io/Logging_0882/kartor/A 13715-2026 karta.png", "A 13715-2026")</f>
        <v/>
      </c>
      <c r="Y57">
        <f>HYPERLINK("https://klasma.github.io/Logging_0882/kartor_geotiff/A 13715-2026 georefererad karta.tif", "A 13715-2026")</f>
        <v/>
      </c>
      <c r="AA57">
        <f>HYPERLINK("https://klasma.github.io/Logging_0882/klagomål/A 13715-2026 FSC-klagomål.docx", "A 13715-2026")</f>
        <v/>
      </c>
      <c r="AB57">
        <f>HYPERLINK("https://klasma.github.io/Logging_0882/klagomålsmail/A 13715-2026 FSC-klagomål mail.docx", "A 13715-2026")</f>
        <v/>
      </c>
      <c r="AC57">
        <f>HYPERLINK("https://klasma.github.io/Logging_0882/tillsyn/A 13715-2026 tillsynsbegäran.docx", "A 13715-2026")</f>
        <v/>
      </c>
      <c r="AD57">
        <f>HYPERLINK("https://klasma.github.io/Logging_0882/tillsynsmail/A 13715-2026 tillsynsbegäran mail.docx", "A 13715-2026")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46290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Mosippa</t>
        </is>
      </c>
      <c r="W58">
        <f>HYPERLINK("https://klasma.github.io/Logging_0882/artfynd/A 26730-2026 artfynd.xlsx", "A 26730-2026")</f>
        <v/>
      </c>
      <c r="X58">
        <f>HYPERLINK("https://klasma.github.io/Logging_0882/kartor/A 26730-2026 karta.png", "A 26730-2026")</f>
        <v/>
      </c>
      <c r="Y58">
        <f>HYPERLINK("https://klasma.github.io/Logging_0882/kartor_geotiff/A 26730-2026 georefererad karta.tif", "A 26730-2026")</f>
        <v/>
      </c>
      <c r="AA58">
        <f>HYPERLINK("https://klasma.github.io/Logging_0882/klagomål/A 26730-2026 FSC-klagomål.docx", "A 26730-2026")</f>
        <v/>
      </c>
      <c r="AB58">
        <f>HYPERLINK("https://klasma.github.io/Logging_0882/klagomålsmail/A 26730-2026 FSC-klagomål mail.docx", "A 26730-2026")</f>
        <v/>
      </c>
      <c r="AC58">
        <f>HYPERLINK("https://klasma.github.io/Logging_0882/tillsyn/A 26730-2026 tillsynsbegäran.docx", "A 26730-2026")</f>
        <v/>
      </c>
      <c r="AD58">
        <f>HYPERLINK("https://klasma.github.io/Logging_0882/tillsynsmail/A 26730-2026 tillsynsbegäran mail.docx", "A 26730-2026")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46290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46290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46290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46290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46290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46290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46290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46290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46290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46290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46290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46290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46290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46290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46290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46290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46290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46290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46290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46290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46290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46290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46290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46290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46290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46290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46290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46290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46290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46290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46290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46290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46290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46290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46290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46290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46290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46290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46290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46290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46290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46290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46290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46290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46290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46290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46290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46290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46290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46290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46290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46290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46290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46290</v>
      </c>
      <c r="F117" t="inlineStr">
        <is>
          <t>KALMAR LÄN</t>
        </is>
      </c>
      <c r="G117" t="inlineStr">
        <is>
          <t>OSKARSHAMN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46290</v>
      </c>
      <c r="F118" t="inlineStr">
        <is>
          <t>KALMAR LÄN</t>
        </is>
      </c>
      <c r="G118" t="inlineStr">
        <is>
          <t>OSKARSHAMN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35531-2024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46290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46290</v>
      </c>
      <c r="F120" t="inlineStr">
        <is>
          <t>KALMAR LÄN</t>
        </is>
      </c>
      <c r="G120" t="inlineStr">
        <is>
          <t>OSKARSHAMN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46290</v>
      </c>
      <c r="F121" t="inlineStr">
        <is>
          <t>KALMAR LÄN</t>
        </is>
      </c>
      <c r="G121" t="inlineStr">
        <is>
          <t>OSKARSHAMN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46290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46290</v>
      </c>
      <c r="F123" t="inlineStr">
        <is>
          <t>KALMAR LÄN</t>
        </is>
      </c>
      <c r="G123" t="inlineStr">
        <is>
          <t>OSKARSHAMN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27684-2022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44743</v>
      </c>
      <c r="E124" s="1" t="n">
        <v>46290</v>
      </c>
      <c r="F124" t="inlineStr">
        <is>
          <t>KALMAR LÄN</t>
        </is>
      </c>
      <c r="G124" t="inlineStr">
        <is>
          <t>OSKARSHAMN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46290</v>
      </c>
      <c r="F125" t="inlineStr">
        <is>
          <t>KALMAR LÄN</t>
        </is>
      </c>
      <c r="G125" t="inlineStr">
        <is>
          <t>OSKARSHAMN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46290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46290</v>
      </c>
      <c r="F127" t="inlineStr">
        <is>
          <t>KALMAR LÄN</t>
        </is>
      </c>
      <c r="G127" t="inlineStr">
        <is>
          <t>OSKARSHAMN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62623-2021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46290</v>
      </c>
      <c r="F128" t="inlineStr">
        <is>
          <t>KALMAR LÄN</t>
        </is>
      </c>
      <c r="G128" t="inlineStr">
        <is>
          <t>OSKARSHAMN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46290</v>
      </c>
      <c r="F129" t="inlineStr">
        <is>
          <t>KALMAR LÄN</t>
        </is>
      </c>
      <c r="G129" t="inlineStr">
        <is>
          <t>OSKARSHAMN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46290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46290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46290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46290</v>
      </c>
      <c r="F133" t="inlineStr">
        <is>
          <t>KALMAR LÄN</t>
        </is>
      </c>
      <c r="G133" t="inlineStr">
        <is>
          <t>OSKARSHAMN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46290</v>
      </c>
      <c r="F134" t="inlineStr">
        <is>
          <t>KALMAR LÄN</t>
        </is>
      </c>
      <c r="G134" t="inlineStr">
        <is>
          <t>OSKARSHAMN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45372</v>
      </c>
      <c r="E135" s="1" t="n">
        <v>46290</v>
      </c>
      <c r="F135" t="inlineStr">
        <is>
          <t>KALMAR LÄN</t>
        </is>
      </c>
      <c r="G135" t="inlineStr">
        <is>
          <t>OSKARSHAMN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45489</v>
      </c>
      <c r="E136" s="1" t="n">
        <v>46290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46290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45349</v>
      </c>
      <c r="E138" s="1" t="n">
        <v>46290</v>
      </c>
      <c r="F138" t="inlineStr">
        <is>
          <t>KALMAR LÄN</t>
        </is>
      </c>
      <c r="G138" t="inlineStr">
        <is>
          <t>OSKARSHAMN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44995</v>
      </c>
      <c r="E139" s="1" t="n">
        <v>46290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46290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46290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44818</v>
      </c>
      <c r="E142" s="1" t="n">
        <v>46290</v>
      </c>
      <c r="F142" t="inlineStr">
        <is>
          <t>KALMAR LÄN</t>
        </is>
      </c>
      <c r="G142" t="inlineStr">
        <is>
          <t>OSKARSHAMN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46290</v>
      </c>
      <c r="F143" t="inlineStr">
        <is>
          <t>KALMAR LÄN</t>
        </is>
      </c>
      <c r="G143" t="inlineStr">
        <is>
          <t>OSKARSHAMN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44951</v>
      </c>
      <c r="E144" s="1" t="n">
        <v>46290</v>
      </c>
      <c r="F144" t="inlineStr">
        <is>
          <t>KALMAR LÄN</t>
        </is>
      </c>
      <c r="G144" t="inlineStr">
        <is>
          <t>OSKARSHAMN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46290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46290</v>
      </c>
      <c r="F146" t="inlineStr">
        <is>
          <t>KALMAR LÄN</t>
        </is>
      </c>
      <c r="G146" t="inlineStr">
        <is>
          <t>OSKARSHAMN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46290</v>
      </c>
      <c r="F147" t="inlineStr">
        <is>
          <t>KALMAR LÄN</t>
        </is>
      </c>
      <c r="G147" t="inlineStr">
        <is>
          <t>OSKARSHAMN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46290</v>
      </c>
      <c r="F148" t="inlineStr">
        <is>
          <t>KALMAR LÄN</t>
        </is>
      </c>
      <c r="G148" t="inlineStr">
        <is>
          <t>OSKARSHAMN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46290</v>
      </c>
      <c r="F149" t="inlineStr">
        <is>
          <t>KALMAR LÄN</t>
        </is>
      </c>
      <c r="G149" t="inlineStr">
        <is>
          <t>OSKARSHAMN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46290</v>
      </c>
      <c r="F150" t="inlineStr">
        <is>
          <t>KALMAR LÄN</t>
        </is>
      </c>
      <c r="G150" t="inlineStr">
        <is>
          <t>OSKARSHAMN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46290</v>
      </c>
      <c r="F151" t="inlineStr">
        <is>
          <t>KALMAR LÄN</t>
        </is>
      </c>
      <c r="G151" t="inlineStr">
        <is>
          <t>OSKARSHAMN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46290</v>
      </c>
      <c r="F152" t="inlineStr">
        <is>
          <t>KALMAR LÄN</t>
        </is>
      </c>
      <c r="G152" t="inlineStr">
        <is>
          <t>OSKARSHAMN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46290</v>
      </c>
      <c r="F153" t="inlineStr">
        <is>
          <t>KALMAR LÄN</t>
        </is>
      </c>
      <c r="G153" t="inlineStr">
        <is>
          <t>OSKARSHAMN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46290</v>
      </c>
      <c r="F154" t="inlineStr">
        <is>
          <t>KALMAR LÄN</t>
        </is>
      </c>
      <c r="G154" t="inlineStr">
        <is>
          <t>OSKARSHAMN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35584-2023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46290</v>
      </c>
      <c r="F155" t="inlineStr">
        <is>
          <t>KALMAR LÄN</t>
        </is>
      </c>
      <c r="G155" t="inlineStr">
        <is>
          <t>OSKARSHAMN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46290</v>
      </c>
      <c r="F156" t="inlineStr">
        <is>
          <t>KALMAR LÄN</t>
        </is>
      </c>
      <c r="G156" t="inlineStr">
        <is>
          <t>OSKARSHAMN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45207</v>
      </c>
      <c r="E157" s="1" t="n">
        <v>46290</v>
      </c>
      <c r="F157" t="inlineStr">
        <is>
          <t>KALMAR LÄN</t>
        </is>
      </c>
      <c r="G157" t="inlineStr">
        <is>
          <t>OSKARSHAMN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46290</v>
      </c>
      <c r="F158" t="inlineStr">
        <is>
          <t>KALMAR LÄN</t>
        </is>
      </c>
      <c r="G158" t="inlineStr">
        <is>
          <t>OSKARSHAMN</t>
        </is>
      </c>
      <c r="I158" t="n">
        <v>11.6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46290</v>
      </c>
      <c r="F159" t="inlineStr">
        <is>
          <t>KALMAR LÄN</t>
        </is>
      </c>
      <c r="G159" t="inlineStr">
        <is>
          <t>OSKARSHAMN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45314</v>
      </c>
      <c r="E160" s="1" t="n">
        <v>46290</v>
      </c>
      <c r="F160" t="inlineStr">
        <is>
          <t>KALMAR LÄN</t>
        </is>
      </c>
      <c r="G160" t="inlineStr">
        <is>
          <t>OSKARSHAMN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46290</v>
      </c>
      <c r="F161" t="inlineStr">
        <is>
          <t>KALMAR LÄN</t>
        </is>
      </c>
      <c r="G161" t="inlineStr">
        <is>
          <t>OSKARSHAMN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46290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46290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44664</v>
      </c>
      <c r="E164" s="1" t="n">
        <v>46290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46290</v>
      </c>
      <c r="F165" t="inlineStr">
        <is>
          <t>KALMAR LÄN</t>
        </is>
      </c>
      <c r="G165" t="inlineStr">
        <is>
          <t>OSKARSHAMN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15754-2022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44663</v>
      </c>
      <c r="E166" s="1" t="n">
        <v>46290</v>
      </c>
      <c r="F166" t="inlineStr">
        <is>
          <t>KALMAR LÄN</t>
        </is>
      </c>
      <c r="G166" t="inlineStr">
        <is>
          <t>OSKARSHAMN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45223</v>
      </c>
      <c r="E167" s="1" t="n">
        <v>46290</v>
      </c>
      <c r="F167" t="inlineStr">
        <is>
          <t>KALMAR LÄN</t>
        </is>
      </c>
      <c r="G167" t="inlineStr">
        <is>
          <t>OSKARSHAMN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46290</v>
      </c>
      <c r="F168" t="inlineStr">
        <is>
          <t>KALMAR LÄN</t>
        </is>
      </c>
      <c r="G168" t="inlineStr">
        <is>
          <t>OSKARSHAMN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18576-2023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45043</v>
      </c>
      <c r="E169" s="1" t="n">
        <v>46290</v>
      </c>
      <c r="F169" t="inlineStr">
        <is>
          <t>KALMAR LÄN</t>
        </is>
      </c>
      <c r="G169" t="inlineStr">
        <is>
          <t>OSKARSHAMN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45323</v>
      </c>
      <c r="E170" s="1" t="n">
        <v>46290</v>
      </c>
      <c r="F170" t="inlineStr">
        <is>
          <t>KALMAR LÄN</t>
        </is>
      </c>
      <c r="G170" t="inlineStr">
        <is>
          <t>OSKARSHAMN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46290</v>
      </c>
      <c r="F171" t="inlineStr">
        <is>
          <t>KALMAR LÄN</t>
        </is>
      </c>
      <c r="G171" t="inlineStr">
        <is>
          <t>OSKARSHAMN</t>
        </is>
      </c>
      <c r="I171" t="n">
        <v>12.9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46290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46290</v>
      </c>
      <c r="F173" t="inlineStr">
        <is>
          <t>KALMAR LÄN</t>
        </is>
      </c>
      <c r="G173" t="inlineStr">
        <is>
          <t>OSKARSHAMN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45021</v>
      </c>
      <c r="E174" s="1" t="n">
        <v>46290</v>
      </c>
      <c r="F174" t="inlineStr">
        <is>
          <t>KALMAR LÄN</t>
        </is>
      </c>
      <c r="G174" t="inlineStr">
        <is>
          <t>OSKARSHAMN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44711</v>
      </c>
      <c r="E175" s="1" t="n">
        <v>46290</v>
      </c>
      <c r="F175" t="inlineStr">
        <is>
          <t>KALMAR LÄN</t>
        </is>
      </c>
      <c r="G175" t="inlineStr">
        <is>
          <t>OSKARSHAMN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45369</v>
      </c>
      <c r="E176" s="1" t="n">
        <v>46290</v>
      </c>
      <c r="F176" t="inlineStr">
        <is>
          <t>KALMAR LÄN</t>
        </is>
      </c>
      <c r="G176" t="inlineStr">
        <is>
          <t>OSKARSHAMN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45369</v>
      </c>
      <c r="E177" s="1" t="n">
        <v>46290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46290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39651-2022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44818</v>
      </c>
      <c r="E179" s="1" t="n">
        <v>46290</v>
      </c>
      <c r="F179" t="inlineStr">
        <is>
          <t>KALMAR LÄN</t>
        </is>
      </c>
      <c r="G179" t="inlineStr">
        <is>
          <t>OSKARSHAMN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46290</v>
      </c>
      <c r="F180" t="inlineStr">
        <is>
          <t>KALMAR LÄN</t>
        </is>
      </c>
      <c r="G180" t="inlineStr">
        <is>
          <t>OSKARSHAMN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46290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46290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46290</v>
      </c>
      <c r="F183" t="inlineStr">
        <is>
          <t>KALMAR LÄN</t>
        </is>
      </c>
      <c r="G183" t="inlineStr">
        <is>
          <t>OSKARSHAMN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46290</v>
      </c>
      <c r="F184" t="inlineStr">
        <is>
          <t>KALMAR LÄN</t>
        </is>
      </c>
      <c r="G184" t="inlineStr">
        <is>
          <t>OSKARSHAMN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46290</v>
      </c>
      <c r="F185" t="inlineStr">
        <is>
          <t>KALMAR LÄN</t>
        </is>
      </c>
      <c r="G185" t="inlineStr">
        <is>
          <t>OSKARSHAMN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46290</v>
      </c>
      <c r="F186" t="inlineStr">
        <is>
          <t>KALMAR LÄN</t>
        </is>
      </c>
      <c r="G186" t="inlineStr">
        <is>
          <t>OSKARSHAMN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46290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46290</v>
      </c>
      <c r="F188" t="inlineStr">
        <is>
          <t>KALMAR LÄN</t>
        </is>
      </c>
      <c r="G188" t="inlineStr">
        <is>
          <t>OSKARSHAMN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46290</v>
      </c>
      <c r="F189" t="inlineStr">
        <is>
          <t>KALMAR LÄN</t>
        </is>
      </c>
      <c r="G189" t="inlineStr">
        <is>
          <t>OSKARSHAMN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46290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46290</v>
      </c>
      <c r="F191" t="inlineStr">
        <is>
          <t>KALMAR LÄN</t>
        </is>
      </c>
      <c r="G191" t="inlineStr">
        <is>
          <t>OSKARSHAMN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46290</v>
      </c>
      <c r="F192" t="inlineStr">
        <is>
          <t>KALMAR LÄN</t>
        </is>
      </c>
      <c r="G192" t="inlineStr">
        <is>
          <t>OSKARSHAMN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46290</v>
      </c>
      <c r="F193" t="inlineStr">
        <is>
          <t>KALMAR LÄN</t>
        </is>
      </c>
      <c r="G193" t="inlineStr">
        <is>
          <t>OSKARSHAMN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46290</v>
      </c>
      <c r="F194" t="inlineStr">
        <is>
          <t>KALMAR LÄN</t>
        </is>
      </c>
      <c r="G194" t="inlineStr">
        <is>
          <t>OSKARSHAMN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46290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46290</v>
      </c>
      <c r="F196" t="inlineStr">
        <is>
          <t>KALMAR LÄN</t>
        </is>
      </c>
      <c r="G196" t="inlineStr">
        <is>
          <t>OSKARSHAMN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46290</v>
      </c>
      <c r="F197" t="inlineStr">
        <is>
          <t>KALMAR LÄN</t>
        </is>
      </c>
      <c r="G197" t="inlineStr">
        <is>
          <t>OSKARSHAMN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46290</v>
      </c>
      <c r="F198" t="inlineStr">
        <is>
          <t>KALMAR LÄN</t>
        </is>
      </c>
      <c r="G198" t="inlineStr">
        <is>
          <t>OSKARSHAMN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46290</v>
      </c>
      <c r="F199" t="inlineStr">
        <is>
          <t>KALMAR LÄN</t>
        </is>
      </c>
      <c r="G199" t="inlineStr">
        <is>
          <t>OSKARSHAMN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46290</v>
      </c>
      <c r="F200" t="inlineStr">
        <is>
          <t>KALMAR LÄN</t>
        </is>
      </c>
      <c r="G200" t="inlineStr">
        <is>
          <t>OSKARSHAMN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45007</v>
      </c>
      <c r="E201" s="1" t="n">
        <v>46290</v>
      </c>
      <c r="F201" t="inlineStr">
        <is>
          <t>KALMAR LÄN</t>
        </is>
      </c>
      <c r="G201" t="inlineStr">
        <is>
          <t>OSKARSHAMN</t>
        </is>
      </c>
      <c r="H201" t="inlineStr">
        <is>
          <t>Övriga Aktiebolag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45756</v>
      </c>
      <c r="E202" s="1" t="n">
        <v>46290</v>
      </c>
      <c r="F202" t="inlineStr">
        <is>
          <t>KALMAR LÄN</t>
        </is>
      </c>
      <c r="G202" t="inlineStr">
        <is>
          <t>OSKARSHAMN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46290</v>
      </c>
      <c r="F203" t="inlineStr">
        <is>
          <t>KALMAR LÄN</t>
        </is>
      </c>
      <c r="G203" t="inlineStr">
        <is>
          <t>OSKARSHAMN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46290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44836</v>
      </c>
      <c r="E205" s="1" t="n">
        <v>46290</v>
      </c>
      <c r="F205" t="inlineStr">
        <is>
          <t>KALMAR LÄN</t>
        </is>
      </c>
      <c r="G205" t="inlineStr">
        <is>
          <t>OSKARSHAMN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46290</v>
      </c>
      <c r="F206" t="inlineStr">
        <is>
          <t>KALMAR LÄN</t>
        </is>
      </c>
      <c r="G206" t="inlineStr">
        <is>
          <t>OSKARSHAMN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53024-2021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44467</v>
      </c>
      <c r="E207" s="1" t="n">
        <v>46290</v>
      </c>
      <c r="F207" t="inlineStr">
        <is>
          <t>KALMAR LÄN</t>
        </is>
      </c>
      <c r="G207" t="inlineStr">
        <is>
          <t>OSKARSHAMN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46290</v>
      </c>
      <c r="F208" t="inlineStr">
        <is>
          <t>KALMAR LÄN</t>
        </is>
      </c>
      <c r="G208" t="inlineStr">
        <is>
          <t>OSKARSHAMN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46290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44963</v>
      </c>
      <c r="E210" s="1" t="n">
        <v>46290</v>
      </c>
      <c r="F210" t="inlineStr">
        <is>
          <t>KALMAR LÄN</t>
        </is>
      </c>
      <c r="G210" t="inlineStr">
        <is>
          <t>OSKARSHAMN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46290</v>
      </c>
      <c r="F211" t="inlineStr">
        <is>
          <t>KALMAR LÄN</t>
        </is>
      </c>
      <c r="G211" t="inlineStr">
        <is>
          <t>OSKARSHAMN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46290</v>
      </c>
      <c r="F212" t="inlineStr">
        <is>
          <t>KALMAR LÄN</t>
        </is>
      </c>
      <c r="G212" t="inlineStr">
        <is>
          <t>OSKARSHAMN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46290</v>
      </c>
      <c r="F213" t="inlineStr">
        <is>
          <t>KALMAR LÄN</t>
        </is>
      </c>
      <c r="G213" t="inlineStr">
        <is>
          <t>OSKARSHAMN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45523</v>
      </c>
      <c r="E214" s="1" t="n">
        <v>46290</v>
      </c>
      <c r="F214" t="inlineStr">
        <is>
          <t>KALMAR LÄN</t>
        </is>
      </c>
      <c r="G214" t="inlineStr">
        <is>
          <t>OSKARSHAMN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50471-2023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46290</v>
      </c>
      <c r="F215" t="inlineStr">
        <is>
          <t>KALMAR LÄN</t>
        </is>
      </c>
      <c r="G215" t="inlineStr">
        <is>
          <t>OSKARSHAMN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42693-2025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45908</v>
      </c>
      <c r="E216" s="1" t="n">
        <v>46290</v>
      </c>
      <c r="F216" t="inlineStr">
        <is>
          <t>KALMAR LÄN</t>
        </is>
      </c>
      <c r="G216" t="inlineStr">
        <is>
          <t>OSKARSHAMN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46290</v>
      </c>
      <c r="F217" t="inlineStr">
        <is>
          <t>KALMAR LÄN</t>
        </is>
      </c>
      <c r="G217" t="inlineStr">
        <is>
          <t>OSKARSHAMN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42751-2025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45908</v>
      </c>
      <c r="E218" s="1" t="n">
        <v>46290</v>
      </c>
      <c r="F218" t="inlineStr">
        <is>
          <t>KALMAR LÄN</t>
        </is>
      </c>
      <c r="G218" t="inlineStr">
        <is>
          <t>OSKARSHAMN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42769-2025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46290</v>
      </c>
      <c r="F219" t="inlineStr">
        <is>
          <t>KALMAR LÄN</t>
        </is>
      </c>
      <c r="G219" t="inlineStr">
        <is>
          <t>OSKARSHAMN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44963</v>
      </c>
      <c r="E220" s="1" t="n">
        <v>46290</v>
      </c>
      <c r="F220" t="inlineStr">
        <is>
          <t>KALMAR LÄN</t>
        </is>
      </c>
      <c r="G220" t="inlineStr">
        <is>
          <t>OSKARSHAMN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46290</v>
      </c>
      <c r="F221" t="inlineStr">
        <is>
          <t>KALMAR LÄN</t>
        </is>
      </c>
      <c r="G221" t="inlineStr">
        <is>
          <t>OSKARSHAMN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46290</v>
      </c>
      <c r="F222" t="inlineStr">
        <is>
          <t>KALMAR LÄN</t>
        </is>
      </c>
      <c r="G222" t="inlineStr">
        <is>
          <t>OSKARSHAMN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46290</v>
      </c>
      <c r="F223" t="inlineStr">
        <is>
          <t>KALMAR LÄN</t>
        </is>
      </c>
      <c r="G223" t="inlineStr">
        <is>
          <t>OSKARSHAMN</t>
        </is>
      </c>
      <c r="H223" t="inlineStr">
        <is>
          <t>Sveaskog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46290</v>
      </c>
      <c r="F224" t="inlineStr">
        <is>
          <t>KALMAR LÄN</t>
        </is>
      </c>
      <c r="G224" t="inlineStr">
        <is>
          <t>OSKARSHAMN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44984</v>
      </c>
      <c r="E225" s="1" t="n">
        <v>46290</v>
      </c>
      <c r="F225" t="inlineStr">
        <is>
          <t>KALMAR LÄN</t>
        </is>
      </c>
      <c r="G225" t="inlineStr">
        <is>
          <t>OSKARSHAMN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46290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44564</v>
      </c>
      <c r="E227" s="1" t="n">
        <v>46290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45589</v>
      </c>
      <c r="E228" s="1" t="n">
        <v>46290</v>
      </c>
      <c r="F228" t="inlineStr">
        <is>
          <t>KALMAR LÄN</t>
        </is>
      </c>
      <c r="G228" t="inlineStr">
        <is>
          <t>OSKARSHAMN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46290</v>
      </c>
      <c r="F229" t="inlineStr">
        <is>
          <t>KALMAR LÄN</t>
        </is>
      </c>
      <c r="G229" t="inlineStr">
        <is>
          <t>OSKARSHAMN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46290</v>
      </c>
      <c r="F230" t="inlineStr">
        <is>
          <t>KALMAR LÄN</t>
        </is>
      </c>
      <c r="G230" t="inlineStr">
        <is>
          <t>OSKARSHAMN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46290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46290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46290</v>
      </c>
      <c r="F233" t="inlineStr">
        <is>
          <t>KALMAR LÄN</t>
        </is>
      </c>
      <c r="G233" t="inlineStr">
        <is>
          <t>OSKARSHAMN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46290</v>
      </c>
      <c r="F234" t="inlineStr">
        <is>
          <t>KALMAR LÄN</t>
        </is>
      </c>
      <c r="G234" t="inlineStr">
        <is>
          <t>OSKARSHAMN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46290</v>
      </c>
      <c r="F235" t="inlineStr">
        <is>
          <t>KALMAR LÄN</t>
        </is>
      </c>
      <c r="G235" t="inlineStr">
        <is>
          <t>OSKARSHAMN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46290</v>
      </c>
      <c r="F236" t="inlineStr">
        <is>
          <t>KALMAR LÄN</t>
        </is>
      </c>
      <c r="G236" t="inlineStr">
        <is>
          <t>OSKARSHAMN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46290</v>
      </c>
      <c r="F237" t="inlineStr">
        <is>
          <t>KALMAR LÄN</t>
        </is>
      </c>
      <c r="G237" t="inlineStr">
        <is>
          <t>OSKARSHAMN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46290</v>
      </c>
      <c r="F238" t="inlineStr">
        <is>
          <t>KALMAR LÄN</t>
        </is>
      </c>
      <c r="G238" t="inlineStr">
        <is>
          <t>OSKARSHAMN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47163-2025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46290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46290</v>
      </c>
      <c r="F240" t="inlineStr">
        <is>
          <t>KALMAR LÄN</t>
        </is>
      </c>
      <c r="G240" t="inlineStr">
        <is>
          <t>OSKARSHAMN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47340-2025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46290</v>
      </c>
      <c r="F241" t="inlineStr">
        <is>
          <t>KALMAR LÄN</t>
        </is>
      </c>
      <c r="G241" t="inlineStr">
        <is>
          <t>OSKARSHAMN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46290</v>
      </c>
      <c r="F242" t="inlineStr">
        <is>
          <t>KALMAR LÄN</t>
        </is>
      </c>
      <c r="G242" t="inlineStr">
        <is>
          <t>OSKARSHAMN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46290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47283-2025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46290</v>
      </c>
      <c r="F244" t="inlineStr">
        <is>
          <t>KALMAR LÄN</t>
        </is>
      </c>
      <c r="G244" t="inlineStr">
        <is>
          <t>OSKARSHAMN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46290</v>
      </c>
      <c r="F245" t="inlineStr">
        <is>
          <t>KALMAR LÄN</t>
        </is>
      </c>
      <c r="G245" t="inlineStr">
        <is>
          <t>OSKARSHAMN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46290</v>
      </c>
      <c r="F246" t="inlineStr">
        <is>
          <t>KALMAR LÄN</t>
        </is>
      </c>
      <c r="G246" t="inlineStr">
        <is>
          <t>OSKARSHAMN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46290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45968</v>
      </c>
      <c r="E248" s="1" t="n">
        <v>46290</v>
      </c>
      <c r="F248" t="inlineStr">
        <is>
          <t>KALMAR LÄN</t>
        </is>
      </c>
      <c r="G248" t="inlineStr">
        <is>
          <t>OSKARSHAMN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58401-2021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44488</v>
      </c>
      <c r="E249" s="1" t="n">
        <v>46290</v>
      </c>
      <c r="F249" t="inlineStr">
        <is>
          <t>KALMAR LÄN</t>
        </is>
      </c>
      <c r="G249" t="inlineStr">
        <is>
          <t>OSKARSHAMN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46290</v>
      </c>
      <c r="F250" t="inlineStr">
        <is>
          <t>KALMAR LÄN</t>
        </is>
      </c>
      <c r="G250" t="inlineStr">
        <is>
          <t>OSKARSHAMN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46290</v>
      </c>
      <c r="F251" t="inlineStr">
        <is>
          <t>KALMAR LÄN</t>
        </is>
      </c>
      <c r="G251" t="inlineStr">
        <is>
          <t>OSKARSHAMN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46290</v>
      </c>
      <c r="F252" t="inlineStr">
        <is>
          <t>KALMAR LÄN</t>
        </is>
      </c>
      <c r="G252" t="inlineStr">
        <is>
          <t>OSKARSHAMN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46290</v>
      </c>
      <c r="F253" t="inlineStr">
        <is>
          <t>KALMAR LÄN</t>
        </is>
      </c>
      <c r="G253" t="inlineStr">
        <is>
          <t>OSKARSHAMN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46290</v>
      </c>
      <c r="F254" t="inlineStr">
        <is>
          <t>KALMAR LÄN</t>
        </is>
      </c>
      <c r="G254" t="inlineStr">
        <is>
          <t>OSKARSHAMN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46290</v>
      </c>
      <c r="F255" t="inlineStr">
        <is>
          <t>KALMAR LÄN</t>
        </is>
      </c>
      <c r="G255" t="inlineStr">
        <is>
          <t>OSKARSHAMN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44994</v>
      </c>
      <c r="E256" s="1" t="n">
        <v>46290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46290</v>
      </c>
      <c r="F257" t="inlineStr">
        <is>
          <t>KALMAR LÄN</t>
        </is>
      </c>
      <c r="G257" t="inlineStr">
        <is>
          <t>OSKARSHAMN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45985</v>
      </c>
      <c r="E258" s="1" t="n">
        <v>46290</v>
      </c>
      <c r="F258" t="inlineStr">
        <is>
          <t>KALMAR LÄN</t>
        </is>
      </c>
      <c r="G258" t="inlineStr">
        <is>
          <t>OSKARSHAMN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8499-2023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44977</v>
      </c>
      <c r="E259" s="1" t="n">
        <v>46290</v>
      </c>
      <c r="F259" t="inlineStr">
        <is>
          <t>KALMAR LÄN</t>
        </is>
      </c>
      <c r="G259" t="inlineStr">
        <is>
          <t>OSKARSHAMN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46290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45884</v>
      </c>
      <c r="E261" s="1" t="n">
        <v>46290</v>
      </c>
      <c r="F261" t="inlineStr">
        <is>
          <t>KALMAR LÄN</t>
        </is>
      </c>
      <c r="G261" t="inlineStr">
        <is>
          <t>OSKARSHAMN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46290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46290</v>
      </c>
      <c r="F263" t="inlineStr">
        <is>
          <t>KALMAR LÄN</t>
        </is>
      </c>
      <c r="G263" t="inlineStr">
        <is>
          <t>OSKARSHAMN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26451-2024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46290</v>
      </c>
      <c r="F264" t="inlineStr">
        <is>
          <t>KALMAR LÄN</t>
        </is>
      </c>
      <c r="G264" t="inlineStr">
        <is>
          <t>OSKARSHAMN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8656-2022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46290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45961</v>
      </c>
      <c r="E266" s="1" t="n">
        <v>46290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71340-2021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44539</v>
      </c>
      <c r="E267" s="1" t="n">
        <v>46290</v>
      </c>
      <c r="F267" t="inlineStr">
        <is>
          <t>KALMAR LÄN</t>
        </is>
      </c>
      <c r="G267" t="inlineStr">
        <is>
          <t>OSKARSHAMN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45258</v>
      </c>
      <c r="E268" s="1" t="n">
        <v>46290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46290</v>
      </c>
      <c r="F269" t="inlineStr">
        <is>
          <t>KALMAR LÄN</t>
        </is>
      </c>
      <c r="G269" t="inlineStr">
        <is>
          <t>OSKARSHAMN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46290</v>
      </c>
      <c r="F270" t="inlineStr">
        <is>
          <t>KALMAR LÄN</t>
        </is>
      </c>
      <c r="G270" t="inlineStr">
        <is>
          <t>OSKARSHAMN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46290</v>
      </c>
      <c r="F271" t="inlineStr">
        <is>
          <t>KALMAR LÄN</t>
        </is>
      </c>
      <c r="G271" t="inlineStr">
        <is>
          <t>OSKARSHAMN</t>
        </is>
      </c>
      <c r="H271" t="inlineStr">
        <is>
          <t>Sveaskog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46290</v>
      </c>
      <c r="F272" t="inlineStr">
        <is>
          <t>KALMAR LÄN</t>
        </is>
      </c>
      <c r="G272" t="inlineStr">
        <is>
          <t>OSKARSHAMN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46290</v>
      </c>
      <c r="F273" t="inlineStr">
        <is>
          <t>KALMAR LÄN</t>
        </is>
      </c>
      <c r="G273" t="inlineStr">
        <is>
          <t>OSKARSHAMN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20758-2026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46141</v>
      </c>
      <c r="E274" s="1" t="n">
        <v>46290</v>
      </c>
      <c r="F274" t="inlineStr">
        <is>
          <t>KALMAR LÄN</t>
        </is>
      </c>
      <c r="G274" t="inlineStr">
        <is>
          <t>OSKARSHAMN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46290</v>
      </c>
      <c r="F275" t="inlineStr">
        <is>
          <t>KALMAR LÄN</t>
        </is>
      </c>
      <c r="G275" t="inlineStr">
        <is>
          <t>OSKARSHAMN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46290</v>
      </c>
      <c r="F276" t="inlineStr">
        <is>
          <t>KALMAR LÄN</t>
        </is>
      </c>
      <c r="G276" t="inlineStr">
        <is>
          <t>OSKARSHAMN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46290</v>
      </c>
      <c r="F277" t="inlineStr">
        <is>
          <t>KALMAR LÄN</t>
        </is>
      </c>
      <c r="G277" t="inlineStr">
        <is>
          <t>OSKARSHAMN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46290</v>
      </c>
      <c r="F278" t="inlineStr">
        <is>
          <t>KALMAR LÄN</t>
        </is>
      </c>
      <c r="G278" t="inlineStr">
        <is>
          <t>OSKARSHAMN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46290</v>
      </c>
      <c r="F279" t="inlineStr">
        <is>
          <t>KALMAR LÄN</t>
        </is>
      </c>
      <c r="G279" t="inlineStr">
        <is>
          <t>OSKARSHAMN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46290</v>
      </c>
      <c r="F280" t="inlineStr">
        <is>
          <t>KALMAR LÄN</t>
        </is>
      </c>
      <c r="G280" t="inlineStr">
        <is>
          <t>OSKARSHAMN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45989</v>
      </c>
      <c r="E281" s="1" t="n">
        <v>46290</v>
      </c>
      <c r="F281" t="inlineStr">
        <is>
          <t>KALMAR LÄN</t>
        </is>
      </c>
      <c r="G281" t="inlineStr">
        <is>
          <t>OSKARSHAMN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46290</v>
      </c>
      <c r="F282" t="inlineStr">
        <is>
          <t>KALMAR LÄN</t>
        </is>
      </c>
      <c r="G282" t="inlineStr">
        <is>
          <t>OSKARSHAMN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46290</v>
      </c>
      <c r="F283" t="inlineStr">
        <is>
          <t>KALMAR LÄN</t>
        </is>
      </c>
      <c r="G283" t="inlineStr">
        <is>
          <t>OSKARSHAMN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46147</v>
      </c>
      <c r="E284" s="1" t="n">
        <v>46290</v>
      </c>
      <c r="F284" t="inlineStr">
        <is>
          <t>KALMAR LÄN</t>
        </is>
      </c>
      <c r="G284" t="inlineStr">
        <is>
          <t>OSKARSHAMN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46290</v>
      </c>
      <c r="F285" t="inlineStr">
        <is>
          <t>KALMAR LÄN</t>
        </is>
      </c>
      <c r="G285" t="inlineStr">
        <is>
          <t>OSKARSHAMN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45580</v>
      </c>
      <c r="E286" s="1" t="n">
        <v>46290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46290</v>
      </c>
      <c r="F287" t="inlineStr">
        <is>
          <t>KALMAR LÄN</t>
        </is>
      </c>
      <c r="G287" t="inlineStr">
        <is>
          <t>OSKARSHAMN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18349-2023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45041</v>
      </c>
      <c r="E288" s="1" t="n">
        <v>46290</v>
      </c>
      <c r="F288" t="inlineStr">
        <is>
          <t>KALMAR LÄN</t>
        </is>
      </c>
      <c r="G288" t="inlineStr">
        <is>
          <t>OSKARSHAMN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46290</v>
      </c>
      <c r="F289" t="inlineStr">
        <is>
          <t>KALMAR LÄN</t>
        </is>
      </c>
      <c r="G289" t="inlineStr">
        <is>
          <t>OSKARSHAMN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46290</v>
      </c>
      <c r="F290" t="inlineStr">
        <is>
          <t>KALMAR LÄN</t>
        </is>
      </c>
      <c r="G290" t="inlineStr">
        <is>
          <t>OSKARSHAMN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46290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46290</v>
      </c>
      <c r="F292" t="inlineStr">
        <is>
          <t>KALMAR LÄN</t>
        </is>
      </c>
      <c r="G292" t="inlineStr">
        <is>
          <t>OSKARSHAMN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46290</v>
      </c>
      <c r="F293" t="inlineStr">
        <is>
          <t>KALMAR LÄN</t>
        </is>
      </c>
      <c r="G293" t="inlineStr">
        <is>
          <t>OSKARSHAMN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46290</v>
      </c>
      <c r="F294" t="inlineStr">
        <is>
          <t>KALMAR LÄN</t>
        </is>
      </c>
      <c r="G294" t="inlineStr">
        <is>
          <t>OSKARSHAMN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44987</v>
      </c>
      <c r="E295" s="1" t="n">
        <v>46290</v>
      </c>
      <c r="F295" t="inlineStr">
        <is>
          <t>KALMAR LÄN</t>
        </is>
      </c>
      <c r="G295" t="inlineStr">
        <is>
          <t>OSKARSHAMN</t>
        </is>
      </c>
      <c r="H295" t="inlineStr">
        <is>
          <t>Kommuner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46290</v>
      </c>
      <c r="F296" t="inlineStr">
        <is>
          <t>KALMAR LÄN</t>
        </is>
      </c>
      <c r="G296" t="inlineStr">
        <is>
          <t>OSKARSHAMN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46290</v>
      </c>
      <c r="F297" t="inlineStr">
        <is>
          <t>KALMAR LÄN</t>
        </is>
      </c>
      <c r="G297" t="inlineStr">
        <is>
          <t>OSKARSHAMN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46290</v>
      </c>
      <c r="F298" t="inlineStr">
        <is>
          <t>KALMAR LÄN</t>
        </is>
      </c>
      <c r="G298" t="inlineStr">
        <is>
          <t>OSKARSHAMN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46290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46290</v>
      </c>
      <c r="F300" t="inlineStr">
        <is>
          <t>KALMAR LÄN</t>
        </is>
      </c>
      <c r="G300" t="inlineStr">
        <is>
          <t>OSKARSHAMN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46290</v>
      </c>
      <c r="F301" t="inlineStr">
        <is>
          <t>KALMAR LÄN</t>
        </is>
      </c>
      <c r="G301" t="inlineStr">
        <is>
          <t>OSKARSHAMN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46290</v>
      </c>
      <c r="F302" t="inlineStr">
        <is>
          <t>KALMAR LÄN</t>
        </is>
      </c>
      <c r="G302" t="inlineStr">
        <is>
          <t>OSKARSHAMN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45433</v>
      </c>
      <c r="E303" s="1" t="n">
        <v>46290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22801-2024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45448</v>
      </c>
      <c r="E304" s="1" t="n">
        <v>46290</v>
      </c>
      <c r="F304" t="inlineStr">
        <is>
          <t>KALMAR LÄN</t>
        </is>
      </c>
      <c r="G304" t="inlineStr">
        <is>
          <t>OSKARSHAMN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45372</v>
      </c>
      <c r="E305" s="1" t="n">
        <v>46290</v>
      </c>
      <c r="F305" t="inlineStr">
        <is>
          <t>KALMAR LÄN</t>
        </is>
      </c>
      <c r="G305" t="inlineStr">
        <is>
          <t>OSKARSHAMN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72819-2021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44547</v>
      </c>
      <c r="E306" s="1" t="n">
        <v>46290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44945</v>
      </c>
      <c r="E307" s="1" t="n">
        <v>46290</v>
      </c>
      <c r="F307" t="inlineStr">
        <is>
          <t>KALMAR LÄN</t>
        </is>
      </c>
      <c r="G307" t="inlineStr">
        <is>
          <t>OSKARSHAMN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45204</v>
      </c>
      <c r="E308" s="1" t="n">
        <v>46290</v>
      </c>
      <c r="F308" t="inlineStr">
        <is>
          <t>KALMAR LÄN</t>
        </is>
      </c>
      <c r="G308" t="inlineStr">
        <is>
          <t>OSKARSHAMN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46290</v>
      </c>
      <c r="F309" t="inlineStr">
        <is>
          <t>KALMAR LÄN</t>
        </is>
      </c>
      <c r="G309" t="inlineStr">
        <is>
          <t>OSKARSHAMN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46290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45435</v>
      </c>
      <c r="E311" s="1" t="n">
        <v>46290</v>
      </c>
      <c r="F311" t="inlineStr">
        <is>
          <t>KALMAR LÄN</t>
        </is>
      </c>
      <c r="G311" t="inlineStr">
        <is>
          <t>OSKARSHAMN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46290</v>
      </c>
      <c r="F312" t="inlineStr">
        <is>
          <t>KALMAR LÄN</t>
        </is>
      </c>
      <c r="G312" t="inlineStr">
        <is>
          <t>OSKARSHAMN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62968-2025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46290</v>
      </c>
      <c r="F313" t="inlineStr">
        <is>
          <t>KALMAR LÄN</t>
        </is>
      </c>
      <c r="G313" t="inlineStr">
        <is>
          <t>OSKARSHAMN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46290</v>
      </c>
      <c r="F314" t="inlineStr">
        <is>
          <t>KALMAR LÄN</t>
        </is>
      </c>
      <c r="G314" t="inlineStr">
        <is>
          <t>OSKARSHAMN</t>
        </is>
      </c>
      <c r="I314" t="n">
        <v>10.7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45523</v>
      </c>
      <c r="E315" s="1" t="n">
        <v>46290</v>
      </c>
      <c r="F315" t="inlineStr">
        <is>
          <t>KALMAR LÄN</t>
        </is>
      </c>
      <c r="G315" t="inlineStr">
        <is>
          <t>OSKARSHAMN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46290</v>
      </c>
      <c r="F316" t="inlineStr">
        <is>
          <t>KALMAR LÄN</t>
        </is>
      </c>
      <c r="G316" t="inlineStr">
        <is>
          <t>OSKARSHAMN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44621</v>
      </c>
      <c r="E317" s="1" t="n">
        <v>46290</v>
      </c>
      <c r="F317" t="inlineStr">
        <is>
          <t>KALMAR LÄN</t>
        </is>
      </c>
      <c r="G317" t="inlineStr">
        <is>
          <t>OSKARSHAMN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45373</v>
      </c>
      <c r="E318" s="1" t="n">
        <v>46290</v>
      </c>
      <c r="F318" t="inlineStr">
        <is>
          <t>KALMAR LÄN</t>
        </is>
      </c>
      <c r="G318" t="inlineStr">
        <is>
          <t>OSKARSHAMN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46290</v>
      </c>
      <c r="F319" t="inlineStr">
        <is>
          <t>KALMAR LÄN</t>
        </is>
      </c>
      <c r="G319" t="inlineStr">
        <is>
          <t>OSKARSHAMN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45208</v>
      </c>
      <c r="E320" s="1" t="n">
        <v>46290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46290</v>
      </c>
      <c r="F321" t="inlineStr">
        <is>
          <t>KALMAR LÄN</t>
        </is>
      </c>
      <c r="G321" t="inlineStr">
        <is>
          <t>OSKARSHAMN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46290</v>
      </c>
      <c r="F322" t="inlineStr">
        <is>
          <t>KALMAR LÄN</t>
        </is>
      </c>
      <c r="G322" t="inlineStr">
        <is>
          <t>OSKARSHAMN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44980</v>
      </c>
      <c r="E323" s="1" t="n">
        <v>46290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45691</v>
      </c>
      <c r="E324" s="1" t="n">
        <v>46290</v>
      </c>
      <c r="F324" t="inlineStr">
        <is>
          <t>KALMAR LÄN</t>
        </is>
      </c>
      <c r="G324" t="inlineStr">
        <is>
          <t>OSKARSHAMN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46290</v>
      </c>
      <c r="F325" t="inlineStr">
        <is>
          <t>KALMAR LÄN</t>
        </is>
      </c>
      <c r="G325" t="inlineStr">
        <is>
          <t>OSKARSHAMN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44995</v>
      </c>
      <c r="E326" s="1" t="n">
        <v>46290</v>
      </c>
      <c r="F326" t="inlineStr">
        <is>
          <t>KALMAR LÄN</t>
        </is>
      </c>
      <c r="G326" t="inlineStr">
        <is>
          <t>OSKARSHAMN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44630</v>
      </c>
      <c r="E327" s="1" t="n">
        <v>46290</v>
      </c>
      <c r="F327" t="inlineStr">
        <is>
          <t>KALMAR LÄN</t>
        </is>
      </c>
      <c r="G327" t="inlineStr">
        <is>
          <t>OSKARSHAMN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46290</v>
      </c>
      <c r="F328" t="inlineStr">
        <is>
          <t>KALMAR LÄN</t>
        </is>
      </c>
      <c r="G328" t="inlineStr">
        <is>
          <t>OSKARSHAMN</t>
        </is>
      </c>
      <c r="H328" t="inlineStr">
        <is>
          <t>Övriga Aktiebolag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4097-2024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45323</v>
      </c>
      <c r="E329" s="1" t="n">
        <v>46290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45002</v>
      </c>
      <c r="E330" s="1" t="n">
        <v>46290</v>
      </c>
      <c r="F330" t="inlineStr">
        <is>
          <t>KALMAR LÄN</t>
        </is>
      </c>
      <c r="G330" t="inlineStr">
        <is>
          <t>OSKARSHAMN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46290</v>
      </c>
      <c r="F331" t="inlineStr">
        <is>
          <t>KALMAR LÄN</t>
        </is>
      </c>
      <c r="G331" t="inlineStr">
        <is>
          <t>OSKARSHAMN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45097</v>
      </c>
      <c r="E332" s="1" t="n">
        <v>46290</v>
      </c>
      <c r="F332" t="inlineStr">
        <is>
          <t>KALMAR LÄN</t>
        </is>
      </c>
      <c r="G332" t="inlineStr">
        <is>
          <t>OSKARSHAMN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45012</v>
      </c>
      <c r="E333" s="1" t="n">
        <v>46290</v>
      </c>
      <c r="F333" t="inlineStr">
        <is>
          <t>KALMAR LÄN</t>
        </is>
      </c>
      <c r="G333" t="inlineStr">
        <is>
          <t>OSKARSHAMN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45369</v>
      </c>
      <c r="E334" s="1" t="n">
        <v>46290</v>
      </c>
      <c r="F334" t="inlineStr">
        <is>
          <t>KALMAR LÄN</t>
        </is>
      </c>
      <c r="G334" t="inlineStr">
        <is>
          <t>OSKARSHAMN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44995</v>
      </c>
      <c r="E335" s="1" t="n">
        <v>46290</v>
      </c>
      <c r="F335" t="inlineStr">
        <is>
          <t>KALMAR LÄN</t>
        </is>
      </c>
      <c r="G335" t="inlineStr">
        <is>
          <t>OSKARSHAMN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40255-2022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44820</v>
      </c>
      <c r="E336" s="1" t="n">
        <v>46290</v>
      </c>
      <c r="F336" t="inlineStr">
        <is>
          <t>KALMAR LÄN</t>
        </is>
      </c>
      <c r="G336" t="inlineStr">
        <is>
          <t>OSKARSHAMN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46290</v>
      </c>
      <c r="F337" t="inlineStr">
        <is>
          <t>KALMAR LÄN</t>
        </is>
      </c>
      <c r="G337" t="inlineStr">
        <is>
          <t>OSKARSHAMN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61854-2022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46290</v>
      </c>
      <c r="F338" t="inlineStr">
        <is>
          <t>KALMAR LÄN</t>
        </is>
      </c>
      <c r="G338" t="inlineStr">
        <is>
          <t>OSKARSHAMN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46290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46290</v>
      </c>
      <c r="F340" t="inlineStr">
        <is>
          <t>KALMAR LÄN</t>
        </is>
      </c>
      <c r="G340" t="inlineStr">
        <is>
          <t>OSKARSHAMN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45198</v>
      </c>
      <c r="E341" s="1" t="n">
        <v>46290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46290</v>
      </c>
      <c r="F342" t="inlineStr">
        <is>
          <t>KALMAR LÄN</t>
        </is>
      </c>
      <c r="G342" t="inlineStr">
        <is>
          <t>OSKARSHAMN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46290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45531</v>
      </c>
      <c r="E344" s="1" t="n">
        <v>46290</v>
      </c>
      <c r="F344" t="inlineStr">
        <is>
          <t>KALMAR LÄN</t>
        </is>
      </c>
      <c r="G344" t="inlineStr">
        <is>
          <t>OSKARSHAMN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46290</v>
      </c>
      <c r="F345" t="inlineStr">
        <is>
          <t>KALMAR LÄN</t>
        </is>
      </c>
      <c r="G345" t="inlineStr">
        <is>
          <t>OSKARSHAMN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44621</v>
      </c>
      <c r="E346" s="1" t="n">
        <v>46290</v>
      </c>
      <c r="F346" t="inlineStr">
        <is>
          <t>KALMAR LÄN</t>
        </is>
      </c>
      <c r="G346" t="inlineStr">
        <is>
          <t>OSKARSHAMN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45448</v>
      </c>
      <c r="E347" s="1" t="n">
        <v>46290</v>
      </c>
      <c r="F347" t="inlineStr">
        <is>
          <t>KALMAR LÄN</t>
        </is>
      </c>
      <c r="G347" t="inlineStr">
        <is>
          <t>OSKARSHAMN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46290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46290</v>
      </c>
      <c r="F349" t="inlineStr">
        <is>
          <t>KALMAR LÄN</t>
        </is>
      </c>
      <c r="G349" t="inlineStr">
        <is>
          <t>OSKARSHAMN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45369</v>
      </c>
      <c r="E350" s="1" t="n">
        <v>46290</v>
      </c>
      <c r="F350" t="inlineStr">
        <is>
          <t>KALMAR LÄN</t>
        </is>
      </c>
      <c r="G350" t="inlineStr">
        <is>
          <t>OSKARSHAMN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46290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62995-2025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46009</v>
      </c>
      <c r="E352" s="1" t="n">
        <v>46290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45483</v>
      </c>
      <c r="E353" s="1" t="n">
        <v>46290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46290</v>
      </c>
      <c r="F354" t="inlineStr">
        <is>
          <t>KALMAR LÄN</t>
        </is>
      </c>
      <c r="G354" t="inlineStr">
        <is>
          <t>OSKARSHAMN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45695</v>
      </c>
      <c r="E355" s="1" t="n">
        <v>46290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45182</v>
      </c>
      <c r="E356" s="1" t="n">
        <v>46290</v>
      </c>
      <c r="F356" t="inlineStr">
        <is>
          <t>KALMAR LÄN</t>
        </is>
      </c>
      <c r="G356" t="inlineStr">
        <is>
          <t>OSKARSHAMN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73404-2021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44551</v>
      </c>
      <c r="E357" s="1" t="n">
        <v>46290</v>
      </c>
      <c r="F357" t="inlineStr">
        <is>
          <t>KALMAR LÄN</t>
        </is>
      </c>
      <c r="G357" t="inlineStr">
        <is>
          <t>OSKARSHAMN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46290</v>
      </c>
      <c r="F358" t="inlineStr">
        <is>
          <t>KALMAR LÄN</t>
        </is>
      </c>
      <c r="G358" t="inlineStr">
        <is>
          <t>OSKARSHAMN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46290</v>
      </c>
      <c r="F359" t="inlineStr">
        <is>
          <t>KALMAR LÄN</t>
        </is>
      </c>
      <c r="G359" t="inlineStr">
        <is>
          <t>OSKARSHAMN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46290</v>
      </c>
      <c r="F360" t="inlineStr">
        <is>
          <t>KALMAR LÄN</t>
        </is>
      </c>
      <c r="G360" t="inlineStr">
        <is>
          <t>OSKARSHAMN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46290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46290</v>
      </c>
      <c r="F362" t="inlineStr">
        <is>
          <t>KALMAR LÄN</t>
        </is>
      </c>
      <c r="G362" t="inlineStr">
        <is>
          <t>OSKARSHAMN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63711-2021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44505</v>
      </c>
      <c r="E363" s="1" t="n">
        <v>46290</v>
      </c>
      <c r="F363" t="inlineStr">
        <is>
          <t>KALMAR LÄN</t>
        </is>
      </c>
      <c r="G363" t="inlineStr">
        <is>
          <t>OSKARSHAMN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46290</v>
      </c>
      <c r="F364" t="inlineStr">
        <is>
          <t>KALMAR LÄN</t>
        </is>
      </c>
      <c r="G364" t="inlineStr">
        <is>
          <t>OSKARSHAMN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43165-2024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45567</v>
      </c>
      <c r="E365" s="1" t="n">
        <v>46290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72786-2021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46290</v>
      </c>
      <c r="F366" t="inlineStr">
        <is>
          <t>KALMAR LÄN</t>
        </is>
      </c>
      <c r="G366" t="inlineStr">
        <is>
          <t>OSKARSHAMN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45406</v>
      </c>
      <c r="E367" s="1" t="n">
        <v>46290</v>
      </c>
      <c r="F367" t="inlineStr">
        <is>
          <t>KALMAR LÄN</t>
        </is>
      </c>
      <c r="G367" t="inlineStr">
        <is>
          <t>OSKARSHAMN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16280-2024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45407</v>
      </c>
      <c r="E368" s="1" t="n">
        <v>46290</v>
      </c>
      <c r="F368" t="inlineStr">
        <is>
          <t>KALMAR LÄN</t>
        </is>
      </c>
      <c r="G368" t="inlineStr">
        <is>
          <t>OSKARSHAMN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46290</v>
      </c>
      <c r="F369" t="inlineStr">
        <is>
          <t>KALMAR LÄN</t>
        </is>
      </c>
      <c r="G369" t="inlineStr">
        <is>
          <t>OSKARSHAMN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45644</v>
      </c>
      <c r="E370" s="1" t="n">
        <v>46290</v>
      </c>
      <c r="F370" t="inlineStr">
        <is>
          <t>KALMAR LÄN</t>
        </is>
      </c>
      <c r="G370" t="inlineStr">
        <is>
          <t>OSKARSHAMN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46290</v>
      </c>
      <c r="F371" t="inlineStr">
        <is>
          <t>KALMAR LÄN</t>
        </is>
      </c>
      <c r="G371" t="inlineStr">
        <is>
          <t>OSKARSHAMN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46290</v>
      </c>
      <c r="F372" t="inlineStr">
        <is>
          <t>KALMAR LÄN</t>
        </is>
      </c>
      <c r="G372" t="inlineStr">
        <is>
          <t>OSKARSHAMN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49963-2023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45215</v>
      </c>
      <c r="E373" s="1" t="n">
        <v>46290</v>
      </c>
      <c r="F373" t="inlineStr">
        <is>
          <t>KALMAR LÄN</t>
        </is>
      </c>
      <c r="G373" t="inlineStr">
        <is>
          <t>OSKARSHAMN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9101-2026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46290</v>
      </c>
      <c r="F374" t="inlineStr">
        <is>
          <t>KALMAR LÄN</t>
        </is>
      </c>
      <c r="G374" t="inlineStr">
        <is>
          <t>OSKARSHAMN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29755-2022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44755</v>
      </c>
      <c r="E375" s="1" t="n">
        <v>46290</v>
      </c>
      <c r="F375" t="inlineStr">
        <is>
          <t>KALMAR LÄN</t>
        </is>
      </c>
      <c r="G375" t="inlineStr">
        <is>
          <t>OSKARSHAMN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46171</v>
      </c>
      <c r="E376" s="1" t="n">
        <v>46290</v>
      </c>
      <c r="F376" t="inlineStr">
        <is>
          <t>KALMAR LÄN</t>
        </is>
      </c>
      <c r="G376" t="inlineStr">
        <is>
          <t>OSKARSHAMN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50572-2024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45601</v>
      </c>
      <c r="E377" s="1" t="n">
        <v>46290</v>
      </c>
      <c r="F377" t="inlineStr">
        <is>
          <t>KALMAR LÄN</t>
        </is>
      </c>
      <c r="G377" t="inlineStr">
        <is>
          <t>OSKARSHAMN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46290</v>
      </c>
      <c r="F378" t="inlineStr">
        <is>
          <t>KALMAR LÄN</t>
        </is>
      </c>
      <c r="G378" t="inlineStr">
        <is>
          <t>OSKARSHAMN</t>
        </is>
      </c>
      <c r="I378" t="n">
        <v>11.8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46290</v>
      </c>
      <c r="F379" t="inlineStr">
        <is>
          <t>KALMAR LÄN</t>
        </is>
      </c>
      <c r="G379" t="inlineStr">
        <is>
          <t>OSKARSHAMN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45240</v>
      </c>
      <c r="E380" s="1" t="n">
        <v>46290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45687</v>
      </c>
      <c r="E381" s="1" t="n">
        <v>46290</v>
      </c>
      <c r="F381" t="inlineStr">
        <is>
          <t>KALMAR LÄN</t>
        </is>
      </c>
      <c r="G381" t="inlineStr">
        <is>
          <t>OSKARSHAMN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59710-2021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44494</v>
      </c>
      <c r="E382" s="1" t="n">
        <v>46290</v>
      </c>
      <c r="F382" t="inlineStr">
        <is>
          <t>KALMAR LÄN</t>
        </is>
      </c>
      <c r="G382" t="inlineStr">
        <is>
          <t>OSKARSHAMN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53530-2022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44879</v>
      </c>
      <c r="E383" s="1" t="n">
        <v>46290</v>
      </c>
      <c r="F383" t="inlineStr">
        <is>
          <t>KALMAR LÄN</t>
        </is>
      </c>
      <c r="G383" t="inlineStr">
        <is>
          <t>OSKARSHAMN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46290</v>
      </c>
      <c r="F384" t="inlineStr">
        <is>
          <t>KALMAR LÄN</t>
        </is>
      </c>
      <c r="G384" t="inlineStr">
        <is>
          <t>OSKARSHAMN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45526</v>
      </c>
      <c r="E385" s="1" t="n">
        <v>46290</v>
      </c>
      <c r="F385" t="inlineStr">
        <is>
          <t>KALMAR LÄN</t>
        </is>
      </c>
      <c r="G385" t="inlineStr">
        <is>
          <t>OSKARSHAMN</t>
        </is>
      </c>
      <c r="H385" t="inlineStr">
        <is>
          <t>Sveaskog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46091</v>
      </c>
      <c r="E386" s="1" t="n">
        <v>46290</v>
      </c>
      <c r="F386" t="inlineStr">
        <is>
          <t>KALMAR LÄN</t>
        </is>
      </c>
      <c r="G386" t="inlineStr">
        <is>
          <t>OSKARSHAMN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46290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46290</v>
      </c>
      <c r="F388" t="inlineStr">
        <is>
          <t>KALMAR LÄN</t>
        </is>
      </c>
      <c r="G388" t="inlineStr">
        <is>
          <t>OSKARSHAMN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46098</v>
      </c>
      <c r="E389" s="1" t="n">
        <v>46290</v>
      </c>
      <c r="F389" t="inlineStr">
        <is>
          <t>KALMAR LÄN</t>
        </is>
      </c>
      <c r="G389" t="inlineStr">
        <is>
          <t>OSKARSHAMN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45700</v>
      </c>
      <c r="E390" s="1" t="n">
        <v>46290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14116-2026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46290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46290</v>
      </c>
      <c r="F392" t="inlineStr">
        <is>
          <t>KALMAR LÄN</t>
        </is>
      </c>
      <c r="G392" t="inlineStr">
        <is>
          <t>OSKARSHAMN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46290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46290</v>
      </c>
      <c r="F394" t="inlineStr">
        <is>
          <t>KALMAR LÄN</t>
        </is>
      </c>
      <c r="G394" t="inlineStr">
        <is>
          <t>OSKARSHAMN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22543-2022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44713</v>
      </c>
      <c r="E395" s="1" t="n">
        <v>46290</v>
      </c>
      <c r="F395" t="inlineStr">
        <is>
          <t>KALMAR LÄN</t>
        </is>
      </c>
      <c r="G395" t="inlineStr">
        <is>
          <t>OSKARSHAMN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15525-2026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46106</v>
      </c>
      <c r="E396" s="1" t="n">
        <v>46290</v>
      </c>
      <c r="F396" t="inlineStr">
        <is>
          <t>KALMAR LÄN</t>
        </is>
      </c>
      <c r="G396" t="inlineStr">
        <is>
          <t>OSKARSHAMN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15316-2026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46290</v>
      </c>
      <c r="F397" t="inlineStr">
        <is>
          <t>KALMAR LÄN</t>
        </is>
      </c>
      <c r="G397" t="inlineStr">
        <is>
          <t>OSKARSHAMN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46290</v>
      </c>
      <c r="F398" t="inlineStr">
        <is>
          <t>KALMAR LÄN</t>
        </is>
      </c>
      <c r="G398" t="inlineStr">
        <is>
          <t>OSKARSHAMN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13204-2024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45386</v>
      </c>
      <c r="E399" s="1" t="n">
        <v>46290</v>
      </c>
      <c r="F399" t="inlineStr">
        <is>
          <t>KALMAR LÄN</t>
        </is>
      </c>
      <c r="G399" t="inlineStr">
        <is>
          <t>OSKARSHAMN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46290</v>
      </c>
      <c r="F400" t="inlineStr">
        <is>
          <t>KALMAR LÄN</t>
        </is>
      </c>
      <c r="G400" t="inlineStr">
        <is>
          <t>OSKARSHAMN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26132-2023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45091</v>
      </c>
      <c r="E401" s="1" t="n">
        <v>46290</v>
      </c>
      <c r="F401" t="inlineStr">
        <is>
          <t>KALMAR LÄN</t>
        </is>
      </c>
      <c r="G401" t="inlineStr">
        <is>
          <t>OSKARSHAMN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45701</v>
      </c>
      <c r="E402" s="1" t="n">
        <v>46290</v>
      </c>
      <c r="F402" t="inlineStr">
        <is>
          <t>KALMAR LÄN</t>
        </is>
      </c>
      <c r="G402" t="inlineStr">
        <is>
          <t>OSKARSHAMN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46290</v>
      </c>
      <c r="F403" t="inlineStr">
        <is>
          <t>KALMAR LÄN</t>
        </is>
      </c>
      <c r="G403" t="inlineStr">
        <is>
          <t>OSKARSHAMN</t>
        </is>
      </c>
      <c r="H403" t="inlineStr">
        <is>
          <t>Kommuner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46290</v>
      </c>
      <c r="F404" t="inlineStr">
        <is>
          <t>KALMAR LÄN</t>
        </is>
      </c>
      <c r="G404" t="inlineStr">
        <is>
          <t>OSKARSHAMN</t>
        </is>
      </c>
      <c r="H404" t="inlineStr">
        <is>
          <t>Kommuner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46290</v>
      </c>
      <c r="F405" t="inlineStr">
        <is>
          <t>KALMAR LÄN</t>
        </is>
      </c>
      <c r="G405" t="inlineStr">
        <is>
          <t>OSKARSHAMN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6670-2024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45341</v>
      </c>
      <c r="E406" s="1" t="n">
        <v>46290</v>
      </c>
      <c r="F406" t="inlineStr">
        <is>
          <t>KALMAR LÄN</t>
        </is>
      </c>
      <c r="G406" t="inlineStr">
        <is>
          <t>OSKARSHAMN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71342-2021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46290</v>
      </c>
      <c r="F407" t="inlineStr">
        <is>
          <t>KALMAR LÄN</t>
        </is>
      </c>
      <c r="G407" t="inlineStr">
        <is>
          <t>OSKARSHAMN</t>
        </is>
      </c>
      <c r="H407" t="inlineStr">
        <is>
          <t>Sveaskog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17603-2026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46121</v>
      </c>
      <c r="E408" s="1" t="n">
        <v>46290</v>
      </c>
      <c r="F408" t="inlineStr">
        <is>
          <t>KALMAR LÄN</t>
        </is>
      </c>
      <c r="G408" t="inlineStr">
        <is>
          <t>OSKARSHAMN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44711</v>
      </c>
      <c r="E409" s="1" t="n">
        <v>46290</v>
      </c>
      <c r="F409" t="inlineStr">
        <is>
          <t>KALMAR LÄN</t>
        </is>
      </c>
      <c r="G409" t="inlineStr">
        <is>
          <t>OSKARSHAMN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46290</v>
      </c>
      <c r="F410" t="inlineStr">
        <is>
          <t>KALMAR LÄN</t>
        </is>
      </c>
      <c r="G410" t="inlineStr">
        <is>
          <t>OSKARSHAMN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7962-2022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44608</v>
      </c>
      <c r="E411" s="1" t="n">
        <v>46290</v>
      </c>
      <c r="F411" t="inlineStr">
        <is>
          <t>KALMAR LÄN</t>
        </is>
      </c>
      <c r="G411" t="inlineStr">
        <is>
          <t>OSKARSHAMN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44624</v>
      </c>
      <c r="E412" s="1" t="n">
        <v>46290</v>
      </c>
      <c r="F412" t="inlineStr">
        <is>
          <t>KALMAR LÄN</t>
        </is>
      </c>
      <c r="G412" t="inlineStr">
        <is>
          <t>OSKARSHAMN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46290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18978-2026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46128</v>
      </c>
      <c r="E414" s="1" t="n">
        <v>46290</v>
      </c>
      <c r="F414" t="inlineStr">
        <is>
          <t>KALMAR LÄN</t>
        </is>
      </c>
      <c r="G414" t="inlineStr">
        <is>
          <t>OSKARSHAMN</t>
        </is>
      </c>
      <c r="H414" t="inlineStr">
        <is>
          <t>Kommuner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45256</v>
      </c>
      <c r="E415" s="1" t="n">
        <v>46290</v>
      </c>
      <c r="F415" t="inlineStr">
        <is>
          <t>KALMAR LÄN</t>
        </is>
      </c>
      <c r="G415" t="inlineStr">
        <is>
          <t>OSKARSHAMN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18739-2026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46290</v>
      </c>
      <c r="F416" t="inlineStr">
        <is>
          <t>KALMAR LÄN</t>
        </is>
      </c>
      <c r="G416" t="inlineStr">
        <is>
          <t>OSKARSHAMN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45195</v>
      </c>
      <c r="E417" s="1" t="n">
        <v>46290</v>
      </c>
      <c r="F417" t="inlineStr">
        <is>
          <t>KALMAR LÄN</t>
        </is>
      </c>
      <c r="G417" t="inlineStr">
        <is>
          <t>OSKARSHAMN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46290</v>
      </c>
      <c r="F418" t="inlineStr">
        <is>
          <t>KALMAR LÄN</t>
        </is>
      </c>
      <c r="G418" t="inlineStr">
        <is>
          <t>OSKARSHAMN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9919-2022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44620</v>
      </c>
      <c r="E419" s="1" t="n">
        <v>46290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46290</v>
      </c>
      <c r="F420" t="inlineStr">
        <is>
          <t>KALMAR LÄN</t>
        </is>
      </c>
      <c r="G420" t="inlineStr">
        <is>
          <t>OSKARSHAMN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46290</v>
      </c>
      <c r="F421" t="inlineStr">
        <is>
          <t>KALMAR LÄN</t>
        </is>
      </c>
      <c r="G421" t="inlineStr">
        <is>
          <t>OSKARSHAMN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46290</v>
      </c>
      <c r="F422" t="inlineStr">
        <is>
          <t>KALMAR LÄN</t>
        </is>
      </c>
      <c r="G422" t="inlineStr">
        <is>
          <t>OSKARSHAMN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29619-2026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46199</v>
      </c>
      <c r="E423" s="1" t="n">
        <v>46290</v>
      </c>
      <c r="F423" t="inlineStr">
        <is>
          <t>KALMAR LÄN</t>
        </is>
      </c>
      <c r="G423" t="inlineStr">
        <is>
          <t>OSKARSHAMN</t>
        </is>
      </c>
      <c r="H423" t="inlineStr">
        <is>
          <t>Kommuner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46290</v>
      </c>
      <c r="F424" t="inlineStr">
        <is>
          <t>KALMAR LÄN</t>
        </is>
      </c>
      <c r="G424" t="inlineStr">
        <is>
          <t>OSKARSHAMN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45560</v>
      </c>
      <c r="E425" s="1" t="n">
        <v>46290</v>
      </c>
      <c r="F425" t="inlineStr">
        <is>
          <t>KALMAR LÄN</t>
        </is>
      </c>
      <c r="G425" t="inlineStr">
        <is>
          <t>OSKARSHAMN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46290</v>
      </c>
      <c r="F426" t="inlineStr">
        <is>
          <t>KALMAR LÄN</t>
        </is>
      </c>
      <c r="G426" t="inlineStr">
        <is>
          <t>OSKARSHAMN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46290</v>
      </c>
      <c r="F427" t="inlineStr">
        <is>
          <t>KALMAR LÄN</t>
        </is>
      </c>
      <c r="G427" t="inlineStr">
        <is>
          <t>OSKARSHAMN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46290</v>
      </c>
      <c r="F428" t="inlineStr">
        <is>
          <t>KALMAR LÄN</t>
        </is>
      </c>
      <c r="G428" t="inlineStr">
        <is>
          <t>OSKARSHAMN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28909-2026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46290</v>
      </c>
      <c r="F429" t="inlineStr">
        <is>
          <t>KALMAR LÄN</t>
        </is>
      </c>
      <c r="G429" t="inlineStr">
        <is>
          <t>OSKARSHAMN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46290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46290</v>
      </c>
      <c r="F431" t="inlineStr">
        <is>
          <t>KALMAR LÄN</t>
        </is>
      </c>
      <c r="G431" t="inlineStr">
        <is>
          <t>OSKARSHAMN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46290</v>
      </c>
      <c r="F432" t="inlineStr">
        <is>
          <t>KALMAR LÄN</t>
        </is>
      </c>
      <c r="G432" t="inlineStr">
        <is>
          <t>OSKARSHAMN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45240</v>
      </c>
      <c r="E433" s="1" t="n">
        <v>46290</v>
      </c>
      <c r="F433" t="inlineStr">
        <is>
          <t>KALMAR LÄN</t>
        </is>
      </c>
      <c r="G433" t="inlineStr">
        <is>
          <t>OSKARSHAMN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45691</v>
      </c>
      <c r="E434" s="1" t="n">
        <v>46290</v>
      </c>
      <c r="F434" t="inlineStr">
        <is>
          <t>KALMAR LÄN</t>
        </is>
      </c>
      <c r="G434" t="inlineStr">
        <is>
          <t>OSKARSHAMN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46290</v>
      </c>
      <c r="F435" t="inlineStr">
        <is>
          <t>KALMAR LÄN</t>
        </is>
      </c>
      <c r="G435" t="inlineStr">
        <is>
          <t>OSKARSHAMN</t>
        </is>
      </c>
      <c r="I435" t="n">
        <v>15.3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57483-2021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44483</v>
      </c>
      <c r="E436" s="1" t="n">
        <v>46290</v>
      </c>
      <c r="F436" t="inlineStr">
        <is>
          <t>KALMAR LÄN</t>
        </is>
      </c>
      <c r="G436" t="inlineStr">
        <is>
          <t>OSKARSHAMN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46290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46290</v>
      </c>
      <c r="F438" t="inlineStr">
        <is>
          <t>KALMAR LÄN</t>
        </is>
      </c>
      <c r="G438" t="inlineStr">
        <is>
          <t>OSKARSHAMN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46290</v>
      </c>
      <c r="F439" t="inlineStr">
        <is>
          <t>KALMAR LÄN</t>
        </is>
      </c>
      <c r="G439" t="inlineStr">
        <is>
          <t>OSKARSHAMN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40177-2023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45169</v>
      </c>
      <c r="E440" s="1" t="n">
        <v>46290</v>
      </c>
      <c r="F440" t="inlineStr">
        <is>
          <t>KALMAR LÄN</t>
        </is>
      </c>
      <c r="G440" t="inlineStr">
        <is>
          <t>OSKARSHAMN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44585</v>
      </c>
      <c r="E441" s="1" t="n">
        <v>46290</v>
      </c>
      <c r="F441" t="inlineStr">
        <is>
          <t>KALMAR LÄN</t>
        </is>
      </c>
      <c r="G441" t="inlineStr">
        <is>
          <t>OSKARSHAMN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46290</v>
      </c>
      <c r="F442" t="inlineStr">
        <is>
          <t>KALMAR LÄN</t>
        </is>
      </c>
      <c r="G442" t="inlineStr">
        <is>
          <t>OSKARSHAMN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29255-2026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46290</v>
      </c>
      <c r="F443" t="inlineStr">
        <is>
          <t>KALMAR LÄN</t>
        </is>
      </c>
      <c r="G443" t="inlineStr">
        <is>
          <t>OSKARSHAMN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11450-2024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45372</v>
      </c>
      <c r="E444" s="1" t="n">
        <v>46290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46290</v>
      </c>
      <c r="F445" t="inlineStr">
        <is>
          <t>KALMAR LÄN</t>
        </is>
      </c>
      <c r="G445" t="inlineStr">
        <is>
          <t>OSKARSHAMN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50169-2022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46290</v>
      </c>
      <c r="F446" t="inlineStr">
        <is>
          <t>KALMAR LÄN</t>
        </is>
      </c>
      <c r="G446" t="inlineStr">
        <is>
          <t>OSKARSHAMN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46290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45056</v>
      </c>
      <c r="E448" s="1" t="n">
        <v>46290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22818-2024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45448</v>
      </c>
      <c r="E449" s="1" t="n">
        <v>46290</v>
      </c>
      <c r="F449" t="inlineStr">
        <is>
          <t>KALMAR LÄN</t>
        </is>
      </c>
      <c r="G449" t="inlineStr">
        <is>
          <t>OSKARSHAMN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46290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45015</v>
      </c>
      <c r="E451" s="1" t="n">
        <v>46290</v>
      </c>
      <c r="F451" t="inlineStr">
        <is>
          <t>KALMAR LÄN</t>
        </is>
      </c>
      <c r="G451" t="inlineStr">
        <is>
          <t>OSKARSHAMN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46290</v>
      </c>
      <c r="F452" t="inlineStr">
        <is>
          <t>KALMAR LÄN</t>
        </is>
      </c>
      <c r="G452" t="inlineStr">
        <is>
          <t>OSKARSHAMN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45329</v>
      </c>
      <c r="E453" s="1" t="n">
        <v>46290</v>
      </c>
      <c r="F453" t="inlineStr">
        <is>
          <t>KALMAR LÄN</t>
        </is>
      </c>
      <c r="G453" t="inlineStr">
        <is>
          <t>OSKARSHAMN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45240</v>
      </c>
      <c r="E454" s="1" t="n">
        <v>46290</v>
      </c>
      <c r="F454" t="inlineStr">
        <is>
          <t>KALMAR LÄN</t>
        </is>
      </c>
      <c r="G454" t="inlineStr">
        <is>
          <t>OSKARSHAMN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46290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58910-2023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45252</v>
      </c>
      <c r="E456" s="1" t="n">
        <v>46290</v>
      </c>
      <c r="F456" t="inlineStr">
        <is>
          <t>KALMAR LÄN</t>
        </is>
      </c>
      <c r="G456" t="inlineStr">
        <is>
          <t>OSKARSHAMN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45244</v>
      </c>
      <c r="E457" s="1" t="n">
        <v>46290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30743-2026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46211</v>
      </c>
      <c r="E458" s="1" t="n">
        <v>46290</v>
      </c>
      <c r="F458" t="inlineStr">
        <is>
          <t>KALMAR LÄN</t>
        </is>
      </c>
      <c r="G458" t="inlineStr">
        <is>
          <t>OSKARSHAMN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46290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51766-2024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45604</v>
      </c>
      <c r="E460" s="1" t="n">
        <v>46290</v>
      </c>
      <c r="F460" t="inlineStr">
        <is>
          <t>KALMAR LÄN</t>
        </is>
      </c>
      <c r="G460" t="inlineStr">
        <is>
          <t>OSKARSHAMN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45898-2024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45580</v>
      </c>
      <c r="E461" s="1" t="n">
        <v>46290</v>
      </c>
      <c r="F461" t="inlineStr">
        <is>
          <t>KALMAR LÄN</t>
        </is>
      </c>
      <c r="G461" t="inlineStr">
        <is>
          <t>OSKARSHAMN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46290</v>
      </c>
      <c r="F462" t="inlineStr">
        <is>
          <t>KALMAR LÄN</t>
        </is>
      </c>
      <c r="G462" t="inlineStr">
        <is>
          <t>OSKARSHAMN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56576-2024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45625</v>
      </c>
      <c r="E463" s="1" t="n">
        <v>46290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25867-2022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44733</v>
      </c>
      <c r="E464" s="1" t="n">
        <v>46290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45385</v>
      </c>
      <c r="E465" s="1" t="n">
        <v>46290</v>
      </c>
      <c r="F465" t="inlineStr">
        <is>
          <t>KALMAR LÄN</t>
        </is>
      </c>
      <c r="G465" t="inlineStr">
        <is>
          <t>OSKARSHAMN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30504-2026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46290</v>
      </c>
      <c r="F466" t="inlineStr">
        <is>
          <t>KALMAR LÄN</t>
        </is>
      </c>
      <c r="G466" t="inlineStr">
        <is>
          <t>OSKARSHAMN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45218</v>
      </c>
      <c r="E467" s="1" t="n">
        <v>46290</v>
      </c>
      <c r="F467" t="inlineStr">
        <is>
          <t>KALMAR LÄN</t>
        </is>
      </c>
      <c r="G467" t="inlineStr">
        <is>
          <t>OSKARSHAMN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26433-2023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45092</v>
      </c>
      <c r="E468" s="1" t="n">
        <v>46290</v>
      </c>
      <c r="F468" t="inlineStr">
        <is>
          <t>KALMAR LÄN</t>
        </is>
      </c>
      <c r="G468" t="inlineStr">
        <is>
          <t>OSKARSHAMN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45034</v>
      </c>
      <c r="E469" s="1" t="n">
        <v>46290</v>
      </c>
      <c r="F469" t="inlineStr">
        <is>
          <t>KALMAR LÄN</t>
        </is>
      </c>
      <c r="G469" t="inlineStr">
        <is>
          <t>OSKARSHAMN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45490</v>
      </c>
      <c r="E470" s="1" t="n">
        <v>46290</v>
      </c>
      <c r="F470" t="inlineStr">
        <is>
          <t>KALMAR LÄN</t>
        </is>
      </c>
      <c r="G470" t="inlineStr">
        <is>
          <t>OSKARSHAMN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46290</v>
      </c>
      <c r="F471" t="inlineStr">
        <is>
          <t>KALMAR LÄN</t>
        </is>
      </c>
      <c r="G471" t="inlineStr">
        <is>
          <t>OSKARSHAMN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59002-2021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44490</v>
      </c>
      <c r="E472" s="1" t="n">
        <v>46290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45113</v>
      </c>
      <c r="E473" s="1" t="n">
        <v>46290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45720</v>
      </c>
      <c r="E474" s="1" t="n">
        <v>46290</v>
      </c>
      <c r="F474" t="inlineStr">
        <is>
          <t>KALMAR LÄN</t>
        </is>
      </c>
      <c r="G474" t="inlineStr">
        <is>
          <t>OSKARSHAMN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45519</v>
      </c>
      <c r="E475" s="1" t="n">
        <v>46290</v>
      </c>
      <c r="F475" t="inlineStr">
        <is>
          <t>KALMAR LÄN</t>
        </is>
      </c>
      <c r="G475" t="inlineStr">
        <is>
          <t>OSKARSHAMN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11473-2024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46290</v>
      </c>
      <c r="F476" t="inlineStr">
        <is>
          <t>KALMAR LÄN</t>
        </is>
      </c>
      <c r="G476" t="inlineStr">
        <is>
          <t>OSKARSHAMN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46290</v>
      </c>
      <c r="F477" t="inlineStr">
        <is>
          <t>KALMAR LÄN</t>
        </is>
      </c>
      <c r="G477" t="inlineStr">
        <is>
          <t>OSKARSHAMN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45531</v>
      </c>
      <c r="E478" s="1" t="n">
        <v>46290</v>
      </c>
      <c r="F478" t="inlineStr">
        <is>
          <t>KALMAR LÄN</t>
        </is>
      </c>
      <c r="G478" t="inlineStr">
        <is>
          <t>OSKARSHAMN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35658-2026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46290</v>
      </c>
      <c r="F479" t="inlineStr">
        <is>
          <t>KALMAR LÄN</t>
        </is>
      </c>
      <c r="G479" t="inlineStr">
        <is>
          <t>OSKARSHAMN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46290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46290</v>
      </c>
      <c r="F481" t="inlineStr">
        <is>
          <t>KALMAR LÄN</t>
        </is>
      </c>
      <c r="G481" t="inlineStr">
        <is>
          <t>OSKARSHAMN</t>
        </is>
      </c>
      <c r="H481" t="inlineStr">
        <is>
          <t>Sveaskog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13778-2024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45391</v>
      </c>
      <c r="E482" s="1" t="n">
        <v>46290</v>
      </c>
      <c r="F482" t="inlineStr">
        <is>
          <t>KALMAR LÄN</t>
        </is>
      </c>
      <c r="G482" t="inlineStr">
        <is>
          <t>OSKARSHAMN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46290</v>
      </c>
      <c r="F483" t="inlineStr">
        <is>
          <t>KALMAR LÄN</t>
        </is>
      </c>
      <c r="G483" t="inlineStr">
        <is>
          <t>OSKARSHAMN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30281-2024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45490</v>
      </c>
      <c r="E484" s="1" t="n">
        <v>46290</v>
      </c>
      <c r="F484" t="inlineStr">
        <is>
          <t>KALMAR LÄN</t>
        </is>
      </c>
      <c r="G484" t="inlineStr">
        <is>
          <t>OSKARSHAMN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46290</v>
      </c>
      <c r="F485" t="inlineStr">
        <is>
          <t>KALMAR LÄN</t>
        </is>
      </c>
      <c r="G485" t="inlineStr">
        <is>
          <t>OSKARSHAMN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29145-2023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45105</v>
      </c>
      <c r="E486" s="1" t="n">
        <v>46290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45096</v>
      </c>
      <c r="E487" s="1" t="n">
        <v>46290</v>
      </c>
      <c r="F487" t="inlineStr">
        <is>
          <t>KALMAR LÄN</t>
        </is>
      </c>
      <c r="G487" t="inlineStr">
        <is>
          <t>OSKARSHAMN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45041</v>
      </c>
      <c r="E488" s="1" t="n">
        <v>46290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35940-2026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46266</v>
      </c>
      <c r="E489" s="1" t="n">
        <v>46290</v>
      </c>
      <c r="F489" t="inlineStr">
        <is>
          <t>KALMAR LÄN</t>
        </is>
      </c>
      <c r="G489" t="inlineStr">
        <is>
          <t>OSKARSHAMN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46290</v>
      </c>
      <c r="F490" t="inlineStr">
        <is>
          <t>KALMAR LÄN</t>
        </is>
      </c>
      <c r="G490" t="inlineStr">
        <is>
          <t>OSKARSHAMN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46290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46290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46290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46290</v>
      </c>
      <c r="F494" t="inlineStr">
        <is>
          <t>KALMAR LÄN</t>
        </is>
      </c>
      <c r="G494" t="inlineStr">
        <is>
          <t>OSKARSHAMN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35541-2024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45531</v>
      </c>
      <c r="E495" s="1" t="n">
        <v>46290</v>
      </c>
      <c r="F495" t="inlineStr">
        <is>
          <t>KALMAR LÄN</t>
        </is>
      </c>
      <c r="G495" t="inlineStr">
        <is>
          <t>OSKARSHAMN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46290</v>
      </c>
      <c r="F496" t="inlineStr">
        <is>
          <t>KALMAR LÄN</t>
        </is>
      </c>
      <c r="G496" t="inlineStr">
        <is>
          <t>OSKARSHAMN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50922-2022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44865</v>
      </c>
      <c r="E497" s="1" t="n">
        <v>46290</v>
      </c>
      <c r="F497" t="inlineStr">
        <is>
          <t>KALMAR LÄN</t>
        </is>
      </c>
      <c r="G497" t="inlineStr">
        <is>
          <t>OSKARSHAMN</t>
        </is>
      </c>
      <c r="H497" t="inlineStr">
        <is>
          <t>Övriga Aktiebolag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46290</v>
      </c>
      <c r="F498" t="inlineStr">
        <is>
          <t>KALMAR LÄN</t>
        </is>
      </c>
      <c r="G498" t="inlineStr">
        <is>
          <t>OSKARSHAMN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45539</v>
      </c>
      <c r="E499" s="1" t="n">
        <v>46290</v>
      </c>
      <c r="F499" t="inlineStr">
        <is>
          <t>KALMAR LÄN</t>
        </is>
      </c>
      <c r="G499" t="inlineStr">
        <is>
          <t>OSKARSHAMN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45490</v>
      </c>
      <c r="E500" s="1" t="n">
        <v>46290</v>
      </c>
      <c r="F500" t="inlineStr">
        <is>
          <t>KALMAR LÄN</t>
        </is>
      </c>
      <c r="G500" t="inlineStr">
        <is>
          <t>OSKARSHAMN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45245</v>
      </c>
      <c r="E501" s="1" t="n">
        <v>46290</v>
      </c>
      <c r="F501" t="inlineStr">
        <is>
          <t>KALMAR LÄN</t>
        </is>
      </c>
      <c r="G501" t="inlineStr">
        <is>
          <t>OSKARSHAMN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45196</v>
      </c>
      <c r="E502" s="1" t="n">
        <v>46290</v>
      </c>
      <c r="F502" t="inlineStr">
        <is>
          <t>KALMAR LÄN</t>
        </is>
      </c>
      <c r="G502" t="inlineStr">
        <is>
          <t>OSKARSHAMN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46290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51025-2023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45218</v>
      </c>
      <c r="E504" s="1" t="n">
        <v>46290</v>
      </c>
      <c r="F504" t="inlineStr">
        <is>
          <t>KALMAR LÄN</t>
        </is>
      </c>
      <c r="G504" t="inlineStr">
        <is>
          <t>OSKARSHAMN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46290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46290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46290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45553</v>
      </c>
      <c r="E508" s="1" t="n">
        <v>46290</v>
      </c>
      <c r="F508" t="inlineStr">
        <is>
          <t>KALMAR LÄN</t>
        </is>
      </c>
      <c r="G508" t="inlineStr">
        <is>
          <t>OSKARSHAMN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46290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30057-2023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45110</v>
      </c>
      <c r="E510" s="1" t="n">
        <v>46290</v>
      </c>
      <c r="F510" t="inlineStr">
        <is>
          <t>KALMAR LÄN</t>
        </is>
      </c>
      <c r="G510" t="inlineStr">
        <is>
          <t>OSKARSHAMN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46230</v>
      </c>
      <c r="E511" s="1" t="n">
        <v>46290</v>
      </c>
      <c r="F511" t="inlineStr">
        <is>
          <t>KALMAR LÄN</t>
        </is>
      </c>
      <c r="G511" t="inlineStr">
        <is>
          <t>OSKARSHAMN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55569-2024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45621</v>
      </c>
      <c r="E512" s="1" t="n">
        <v>46290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46290</v>
      </c>
      <c r="F513" t="inlineStr">
        <is>
          <t>KALMAR LÄN</t>
        </is>
      </c>
      <c r="G513" t="inlineStr">
        <is>
          <t>OSKARSHAMN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45708</v>
      </c>
      <c r="E514" s="1" t="n">
        <v>46290</v>
      </c>
      <c r="F514" t="inlineStr">
        <is>
          <t>KALMAR LÄN</t>
        </is>
      </c>
      <c r="G514" t="inlineStr">
        <is>
          <t>OSKARSHAMN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59075-2021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44489</v>
      </c>
      <c r="E515" s="1" t="n">
        <v>46290</v>
      </c>
      <c r="F515" t="inlineStr">
        <is>
          <t>KALMAR LÄN</t>
        </is>
      </c>
      <c r="G515" t="inlineStr">
        <is>
          <t>OSKARSHAMN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11933-2023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46290</v>
      </c>
      <c r="F516" t="inlineStr">
        <is>
          <t>KALMAR LÄN</t>
        </is>
      </c>
      <c r="G516" t="inlineStr">
        <is>
          <t>OSKARSHAMN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28538-2023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45103</v>
      </c>
      <c r="E517" s="1" t="n">
        <v>46290</v>
      </c>
      <c r="F517" t="inlineStr">
        <is>
          <t>KALMAR LÄN</t>
        </is>
      </c>
      <c r="G517" t="inlineStr">
        <is>
          <t>OSKARSHAMN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46290</v>
      </c>
      <c r="F518" t="inlineStr">
        <is>
          <t>KALMAR LÄN</t>
        </is>
      </c>
      <c r="G518" t="inlineStr">
        <is>
          <t>OSKARSHAMN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28116-2023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46290</v>
      </c>
      <c r="F519" t="inlineStr">
        <is>
          <t>KALMAR LÄN</t>
        </is>
      </c>
      <c r="G519" t="inlineStr">
        <is>
          <t>OSKARSHAMN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45572</v>
      </c>
      <c r="E520" s="1" t="n">
        <v>46290</v>
      </c>
      <c r="F520" t="inlineStr">
        <is>
          <t>KALMAR LÄN</t>
        </is>
      </c>
      <c r="G520" t="inlineStr">
        <is>
          <t>OSKARSHAMN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58406-2021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44488</v>
      </c>
      <c r="E521" s="1" t="n">
        <v>46290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46290</v>
      </c>
      <c r="F522" t="inlineStr">
        <is>
          <t>KALMAR LÄN</t>
        </is>
      </c>
      <c r="G522" t="inlineStr">
        <is>
          <t>OSKARSHAMN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46290</v>
      </c>
      <c r="F523" t="inlineStr">
        <is>
          <t>KALMAR LÄN</t>
        </is>
      </c>
      <c r="G523" t="inlineStr">
        <is>
          <t>OSKARSHAMN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16215-2023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45028</v>
      </c>
      <c r="E524" s="1" t="n">
        <v>46290</v>
      </c>
      <c r="F524" t="inlineStr">
        <is>
          <t>KALMAR LÄN</t>
        </is>
      </c>
      <c r="G524" t="inlineStr">
        <is>
          <t>OSKARSHAMN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14129-2025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45740</v>
      </c>
      <c r="E525" s="1" t="n">
        <v>46290</v>
      </c>
      <c r="F525" t="inlineStr">
        <is>
          <t>KALMAR LÄN</t>
        </is>
      </c>
      <c r="G525" t="inlineStr">
        <is>
          <t>OSKARSHAMN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46290</v>
      </c>
      <c r="F526" t="inlineStr">
        <is>
          <t>KALMAR LÄN</t>
        </is>
      </c>
      <c r="G526" t="inlineStr">
        <is>
          <t>OSKARSHAMN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26555-2024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45469</v>
      </c>
      <c r="E527" s="1" t="n">
        <v>46290</v>
      </c>
      <c r="F527" t="inlineStr">
        <is>
          <t>KALMAR LÄN</t>
        </is>
      </c>
      <c r="G527" t="inlineStr">
        <is>
          <t>OSKARSHAMN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45469</v>
      </c>
      <c r="E528" s="1" t="n">
        <v>46290</v>
      </c>
      <c r="F528" t="inlineStr">
        <is>
          <t>KALMAR LÄN</t>
        </is>
      </c>
      <c r="G528" t="inlineStr">
        <is>
          <t>OSKARSHAMN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46290</v>
      </c>
      <c r="F529" t="inlineStr">
        <is>
          <t>KALMAR LÄN</t>
        </is>
      </c>
      <c r="G529" t="inlineStr">
        <is>
          <t>OSKARSHAMN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46290</v>
      </c>
      <c r="F530" t="inlineStr">
        <is>
          <t>KALMAR LÄN</t>
        </is>
      </c>
      <c r="G530" t="inlineStr">
        <is>
          <t>OSKARSHAMN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45525</v>
      </c>
      <c r="E531" s="1" t="n">
        <v>46290</v>
      </c>
      <c r="F531" t="inlineStr">
        <is>
          <t>KALMAR LÄN</t>
        </is>
      </c>
      <c r="G531" t="inlineStr">
        <is>
          <t>OSKARSHAMN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45233</v>
      </c>
      <c r="E532" s="1" t="n">
        <v>46290</v>
      </c>
      <c r="F532" t="inlineStr">
        <is>
          <t>KALMAR LÄN</t>
        </is>
      </c>
      <c r="G532" t="inlineStr">
        <is>
          <t>OSKARSHAMN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53564-2023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45224</v>
      </c>
      <c r="E533" s="1" t="n">
        <v>46290</v>
      </c>
      <c r="F533" t="inlineStr">
        <is>
          <t>KALMAR LÄN</t>
        </is>
      </c>
      <c r="G533" t="inlineStr">
        <is>
          <t>OSKARSHAMN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46290</v>
      </c>
      <c r="F534" t="inlineStr">
        <is>
          <t>KALMAR LÄN</t>
        </is>
      </c>
      <c r="G534" t="inlineStr">
        <is>
          <t>OSKARSHAMN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46290</v>
      </c>
      <c r="F535" t="inlineStr">
        <is>
          <t>KALMAR LÄN</t>
        </is>
      </c>
      <c r="G535" t="inlineStr">
        <is>
          <t>OSKARSHAMN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8300-2025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45708</v>
      </c>
      <c r="E536" s="1" t="n">
        <v>46290</v>
      </c>
      <c r="F536" t="inlineStr">
        <is>
          <t>KALMAR LÄN</t>
        </is>
      </c>
      <c r="G536" t="inlineStr">
        <is>
          <t>OSKARSHAMN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46244</v>
      </c>
      <c r="E537" s="1" t="n">
        <v>46290</v>
      </c>
      <c r="F537" t="inlineStr">
        <is>
          <t>KALMAR LÄN</t>
        </is>
      </c>
      <c r="G537" t="inlineStr">
        <is>
          <t>OSKARSHAMN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46287</v>
      </c>
      <c r="E538" s="1" t="n">
        <v>46290</v>
      </c>
      <c r="F538" t="inlineStr">
        <is>
          <t>KALMAR LÄN</t>
        </is>
      </c>
      <c r="G538" t="inlineStr">
        <is>
          <t>OSKARSHAMN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58375-2024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45632</v>
      </c>
      <c r="E539" s="1" t="n">
        <v>46290</v>
      </c>
      <c r="F539" t="inlineStr">
        <is>
          <t>KALMAR LÄN</t>
        </is>
      </c>
      <c r="G539" t="inlineStr">
        <is>
          <t>OSKARSHAMN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46290</v>
      </c>
      <c r="F540" t="inlineStr">
        <is>
          <t>KALMAR LÄN</t>
        </is>
      </c>
      <c r="G540" t="inlineStr">
        <is>
          <t>OSKARSHAMN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46243</v>
      </c>
      <c r="E541" s="1" t="n">
        <v>46290</v>
      </c>
      <c r="F541" t="inlineStr">
        <is>
          <t>KALMAR LÄN</t>
        </is>
      </c>
      <c r="G541" t="inlineStr">
        <is>
          <t>OSKARSHAMN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32833-2026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46243</v>
      </c>
      <c r="E542" s="1" t="n">
        <v>46290</v>
      </c>
      <c r="F542" t="inlineStr">
        <is>
          <t>KALMAR LÄN</t>
        </is>
      </c>
      <c r="G542" t="inlineStr">
        <is>
          <t>OSKARSHAMN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46288</v>
      </c>
      <c r="E543" s="1" t="n">
        <v>46290</v>
      </c>
      <c r="F543" t="inlineStr">
        <is>
          <t>KALMAR LÄN</t>
        </is>
      </c>
      <c r="G543" t="inlineStr">
        <is>
          <t>OSKARSHAMN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46288</v>
      </c>
      <c r="E544" s="1" t="n">
        <v>46290</v>
      </c>
      <c r="F544" t="inlineStr">
        <is>
          <t>KALMAR LÄN</t>
        </is>
      </c>
      <c r="G544" t="inlineStr">
        <is>
          <t>OSKARSHAMN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45796</v>
      </c>
      <c r="E545" s="1" t="n">
        <v>46290</v>
      </c>
      <c r="F545" t="inlineStr">
        <is>
          <t>KALMAR LÄN</t>
        </is>
      </c>
      <c r="G545" t="inlineStr">
        <is>
          <t>OSKARSHAMN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46290</v>
      </c>
      <c r="F546" t="inlineStr">
        <is>
          <t>KALMAR LÄN</t>
        </is>
      </c>
      <c r="G546" t="inlineStr">
        <is>
          <t>OSKARSHAMN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46288</v>
      </c>
      <c r="E547" s="1" t="n">
        <v>46290</v>
      </c>
      <c r="F547" t="inlineStr">
        <is>
          <t>KALMAR LÄN</t>
        </is>
      </c>
      <c r="G547" t="inlineStr">
        <is>
          <t>OSKARSHAMN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46290</v>
      </c>
      <c r="F548" t="inlineStr">
        <is>
          <t>KALMAR LÄN</t>
        </is>
      </c>
      <c r="G548" t="inlineStr">
        <is>
          <t>OSKARSHAMN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28100-2026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46195</v>
      </c>
      <c r="E549" s="1" t="n">
        <v>46290</v>
      </c>
      <c r="F549" t="inlineStr">
        <is>
          <t>KALMAR LÄN</t>
        </is>
      </c>
      <c r="G549" t="inlineStr">
        <is>
          <t>OSKARSHAMN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34841-2024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45526</v>
      </c>
      <c r="E550" s="1" t="n">
        <v>46290</v>
      </c>
      <c r="F550" t="inlineStr">
        <is>
          <t>KALMAR LÄN</t>
        </is>
      </c>
      <c r="G550" t="inlineStr">
        <is>
          <t>OSKARSHAMN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46290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26127-2025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45805</v>
      </c>
      <c r="E552" s="1" t="n">
        <v>46290</v>
      </c>
      <c r="F552" t="inlineStr">
        <is>
          <t>KALMAR LÄN</t>
        </is>
      </c>
      <c r="G552" t="inlineStr">
        <is>
          <t>OSKARSHAMN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26996-2025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46290</v>
      </c>
      <c r="F553" t="inlineStr">
        <is>
          <t>KALMAR LÄN</t>
        </is>
      </c>
      <c r="G553" t="inlineStr">
        <is>
          <t>OSKARSHAMN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28254-2025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46290</v>
      </c>
      <c r="F554" t="inlineStr">
        <is>
          <t>KALMAR LÄN</t>
        </is>
      </c>
      <c r="G554" t="inlineStr">
        <is>
          <t>OSKARSHAMN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46290</v>
      </c>
      <c r="F555" t="inlineStr">
        <is>
          <t>KALMAR LÄN</t>
        </is>
      </c>
      <c r="G555" t="inlineStr">
        <is>
          <t>OSKARSHAMN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46290</v>
      </c>
      <c r="F556" t="inlineStr">
        <is>
          <t>KALMAR LÄN</t>
        </is>
      </c>
      <c r="G556" t="inlineStr">
        <is>
          <t>OSKARSHAMN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30956-2025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45832</v>
      </c>
      <c r="E557" s="1" t="n">
        <v>46290</v>
      </c>
      <c r="F557" t="inlineStr">
        <is>
          <t>KALMAR LÄN</t>
        </is>
      </c>
      <c r="G557" t="inlineStr">
        <is>
          <t>OSKARSHAMN</t>
        </is>
      </c>
      <c r="I557" t="n">
        <v>11.7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46290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31081-2025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45832</v>
      </c>
      <c r="E559" s="1" t="n">
        <v>46290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45792</v>
      </c>
      <c r="E560" s="1" t="n">
        <v>46290</v>
      </c>
      <c r="F560" t="inlineStr">
        <is>
          <t>KALMAR LÄN</t>
        </is>
      </c>
      <c r="G560" t="inlineStr">
        <is>
          <t>OSKARSHAMN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45691</v>
      </c>
      <c r="E561" s="1" t="n">
        <v>46290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46290</v>
      </c>
      <c r="F562" t="inlineStr">
        <is>
          <t>KALMAR LÄN</t>
        </is>
      </c>
      <c r="G562" t="inlineStr">
        <is>
          <t>OSKARSHAMN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32564-2025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45838</v>
      </c>
      <c r="E563" s="1" t="n">
        <v>46290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61028-2024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46290</v>
      </c>
      <c r="F564" t="inlineStr">
        <is>
          <t>KALMAR LÄN</t>
        </is>
      </c>
      <c r="G564" t="inlineStr">
        <is>
          <t>OSKARSHAMN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46290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46290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46290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46290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46290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46290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46290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46290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46290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46290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46290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46290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46290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46290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46290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46290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46290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46290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46290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46290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46290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46290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46290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2026-09-25T02:01:37Z</dcterms:created>
  <dcterms:modified xmlns:dcterms="http://purl.org/dc/terms/" xmlns:xsi="http://www.w3.org/2001/XMLSchema-instance" xsi:type="dcterms:W3CDTF">2026-09-25T02:01:38Z</dcterms:modified>
</cp:coreProperties>
</file>